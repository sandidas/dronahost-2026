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s" sheetId="1" state="visible" r:id="rId3"/>
    <sheet name="PHP settings" sheetId="2" state="visible" r:id="rId4"/>
    <sheet name="Add-ons" sheetId="3" state="visible" r:id="rId5"/>
    <sheet name="Old to new" sheetId="4" state="visible" r:id="rId6"/>
    <sheet name="Open ite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<sst xmlns="http://schemas.openxmlformats.org/spreadsheetml/2006/main" count="396" uniqueCount="251">
  <si>
    <t xml:space="preserve">DronaHost: four-plan lineup</t>
  </si>
  <si>
    <t xml:space="preserve">Blue text = a value you can change. Black = formula. Green = pulled from another tab. Yellow = needs your decision or data.</t>
  </si>
  <si>
    <t xml:space="preserve">Feature</t>
  </si>
  <si>
    <t xml:space="preserve">Starter</t>
  </si>
  <si>
    <t xml:space="preserve">Growth</t>
  </si>
  <si>
    <t xml:space="preserve">Pro</t>
  </si>
  <si>
    <t xml:space="preserve">Scale</t>
  </si>
  <si>
    <t xml:space="preserve">Notes</t>
  </si>
  <si>
    <t xml:space="preserve">Highlight on the pricing page</t>
  </si>
  <si>
    <t xml:space="preserve">Most popular</t>
  </si>
  <si>
    <t xml:space="preserve">Only one plan carries the badge.</t>
  </si>
  <si>
    <t xml:space="preserve">Best for</t>
  </si>
  <si>
    <t xml:space="preserve">A business site and email</t>
  </si>
  <si>
    <t xml:space="preserve">Growing business, a few sites</t>
  </si>
  <si>
    <t xml:space="preserve">Busy sites and small stores</t>
  </si>
  <si>
    <t xml:space="preserve">WooCommerce and heavy traffic</t>
  </si>
  <si>
    <t xml:space="preserve">Price</t>
  </si>
  <si>
    <t xml:space="preserve">Price per month, billed yearly ($)</t>
  </si>
  <si>
    <t xml:space="preserve">Starter, Growth and Scale are from your sheet. Pro is lowered from your $59.99 so the step up from Growth is smaller. For comparison, SiteGround's entry plan renews at $17.99 and Hostinger's at $10.99 (their pricing pages, 11 Oct 2026).</t>
  </si>
  <si>
    <t xml:space="preserve">Price per month, billed monthly ($)</t>
  </si>
  <si>
    <t xml:space="preserve">Yearly price plus the monthly extra below, rounded to end in .99.</t>
  </si>
  <si>
    <t xml:space="preserve">Yearly total charged ($)</t>
  </si>
  <si>
    <t xml:space="preserve">Price per month x 12.</t>
  </si>
  <si>
    <t xml:space="preserve">Price step from the previous tier</t>
  </si>
  <si>
    <t xml:space="preserve">n/a</t>
  </si>
  <si>
    <t xml:space="preserve">The last step is larger because Scale moves to dedicated hardware.</t>
  </si>
  <si>
    <t xml:space="preserve">What the customer gets</t>
  </si>
  <si>
    <t xml:space="preserve">Websites</t>
  </si>
  <si>
    <t xml:space="preserve">Unlimited</t>
  </si>
  <si>
    <t xml:space="preserve">From your sheet. Your current $1 to $2 plans allow 5 or unlimited sites.</t>
  </si>
  <si>
    <t xml:space="preserve">Storage (GB, NVMe)</t>
  </si>
  <si>
    <t xml:space="preserve">From your sheet.</t>
  </si>
  <si>
    <t xml:space="preserve">Mailboxes</t>
  </si>
  <si>
    <t xml:space="preserve">Databases</t>
  </si>
  <si>
    <t xml:space="preserve">Daily backups kept (days)</t>
  </si>
  <si>
    <t xml:space="preserve">My suggestion. Your sheet had 1, 7, 7, 7. SiteGround keeps 30 days on every plan (siteground.com, 11 Oct 2026).</t>
  </si>
  <si>
    <t xml:space="preserve">Visits per month</t>
  </si>
  <si>
    <t xml:space="preserve">TBC</t>
  </si>
  <si>
    <t xml:space="preserve">Fill in after a load test on each tier. Show this on the site in place of bandwidth.</t>
  </si>
  <si>
    <t xml:space="preserve">Bandwidth (GB per month)</t>
  </si>
  <si>
    <t xml:space="preserve">From your sheet. Keep as an internal limit.</t>
  </si>
  <si>
    <t xml:space="preserve">Support</t>
  </si>
  <si>
    <t xml:space="preserve">Standard</t>
  </si>
  <si>
    <t xml:space="preserve">Priority</t>
  </si>
  <si>
    <t xml:space="preserve">24/7</t>
  </si>
  <si>
    <t xml:space="preserve">24/7, senior experts</t>
  </si>
  <si>
    <t xml:space="preserve">From your sheet. Scale takes the senior-expert support your sheet gave Dedicated Core.</t>
  </si>
  <si>
    <t xml:space="preserve">Performance tuning</t>
  </si>
  <si>
    <t xml:space="preserve">No</t>
  </si>
  <si>
    <t xml:space="preserve">Yes</t>
  </si>
  <si>
    <t xml:space="preserve">Redis</t>
  </si>
  <si>
    <t xml:space="preserve">My suggestion. Your sheet had Redis only on Dedicated Core.</t>
  </si>
  <si>
    <t xml:space="preserve">Resources (these drive the PHP settings tab)</t>
  </si>
  <si>
    <t xml:space="preserve">Resource type</t>
  </si>
  <si>
    <t xml:space="preserve">Shared</t>
  </si>
  <si>
    <t xml:space="preserve">Semi-dedicated</t>
  </si>
  <si>
    <t xml:space="preserve">Dedicated</t>
  </si>
  <si>
    <t xml:space="preserve">CPU cores</t>
  </si>
  <si>
    <t xml:space="preserve">From your sheet's CPU % (200, 200, 400, 800). Show cores on the site.</t>
  </si>
  <si>
    <t xml:space="preserve">RAM (GB)</t>
  </si>
  <si>
    <t xml:space="preserve">Included in every plan</t>
  </si>
  <si>
    <t xml:space="preserve">Free SSL</t>
  </si>
  <si>
    <t xml:space="preserve">DDoS protection</t>
  </si>
  <si>
    <t xml:space="preserve">Imunify360 security</t>
  </si>
  <si>
    <t xml:space="preserve">Your sheet left these three blank for Scale.</t>
  </si>
  <si>
    <t xml:space="preserve">Free migration, done for the customer</t>
  </si>
  <si>
    <t xml:space="preserve">Lead with this and the WordPress expert.</t>
  </si>
  <si>
    <t xml:space="preserve">Server monitoring</t>
  </si>
  <si>
    <t xml:space="preserve">No price increase on renewal</t>
  </si>
  <si>
    <t xml:space="preserve">Put this next to the price.</t>
  </si>
  <si>
    <t xml:space="preserve">30-day money-back guarantee</t>
  </si>
  <si>
    <t xml:space="preserve">Already on your site. Keep it next to the order button.</t>
  </si>
  <si>
    <t xml:space="preserve">Assumptions</t>
  </si>
  <si>
    <t xml:space="preserve">Extra charged for paying monthly</t>
  </si>
  <si>
    <t xml:space="preserve">My suggestion. Change it and the monthly prices update.</t>
  </si>
  <si>
    <t xml:space="preserve">Above Scale: one 'Talk to us' strip, no plan card</t>
  </si>
  <si>
    <t xml:space="preserve">Dedicated Core, from ($ per month)</t>
  </si>
  <si>
    <t xml:space="preserve">Enterprise</t>
  </si>
  <si>
    <t xml:space="preserve">Custom quote</t>
  </si>
  <si>
    <t xml:space="preserve">WhatsApp and consultation buttons, no spec table.</t>
  </si>
  <si>
    <t xml:space="preserve">PHP and PHP-FPM settings per plan</t>
  </si>
  <si>
    <t xml:space="preserve">Change the blue inputs; the values to set and the checks update. Apply the same values to every PHP version you offer.</t>
  </si>
  <si>
    <t xml:space="preserve">Setting</t>
  </si>
  <si>
    <t xml:space="preserve">Sizing inputs</t>
  </si>
  <si>
    <t xml:space="preserve">From the Plans tab.</t>
  </si>
  <si>
    <t xml:space="preserve">Share of RAM given to PHP workers</t>
  </si>
  <si>
    <t xml:space="preserve">Assumes MySQL and Redis do not count against the same RAM limit. If they do (likely on Scale), lower this to about 50%.</t>
  </si>
  <si>
    <t xml:space="preserve">Average RAM per PHP worker (MB)</t>
  </si>
  <si>
    <t xml:space="preserve">My estimate for WordPress, heavier on tiers likely to run WooCommerce. Replace with what your servers actually show.</t>
  </si>
  <si>
    <t xml:space="preserve">Most PHP workers per CPU core</t>
  </si>
  <si>
    <t xml:space="preserve">My estimate. Beyond this, extra workers wait for CPU and use RAM without serving pages faster.</t>
  </si>
  <si>
    <t xml:space="preserve">Limits you choose</t>
  </si>
  <si>
    <t xml:space="preserve">memory_limit (MB)</t>
  </si>
  <si>
    <t xml:space="preserve">A ceiling per request, not a reservation. Your sheet had 1G to 2G, which lets a single request take a quarter to a third of the plan's RAM.</t>
  </si>
  <si>
    <t xml:space="preserve">post_max_size (MB)</t>
  </si>
  <si>
    <t xml:space="preserve">Must be at least upload_max_filesize, or the smaller value is the real upload limit.</t>
  </si>
  <si>
    <t xml:space="preserve">upload_max_filesize (MB)</t>
  </si>
  <si>
    <t xml:space="preserve">Your sheet had this above post_max_size on every plan.</t>
  </si>
  <si>
    <t xml:space="preserve">max_execution_time (seconds)</t>
  </si>
  <si>
    <t xml:space="preserve">max_input_time (seconds)</t>
  </si>
  <si>
    <t xml:space="preserve">max_input_vars</t>
  </si>
  <si>
    <t xml:space="preserve">Not in your sheet. Large WordPress menus and WooCommerce product forms fail at the PHP default of 1000.</t>
  </si>
  <si>
    <t xml:space="preserve">pm.max_requests</t>
  </si>
  <si>
    <t xml:space="preserve">pm (process manager mode)</t>
  </si>
  <si>
    <t xml:space="preserve">ondemand</t>
  </si>
  <si>
    <t xml:space="preserve">dynamic</t>
  </si>
  <si>
    <t xml:space="preserve">From your sheet: ondemand on shared tiers frees RAM when a site is idle.</t>
  </si>
  <si>
    <t xml:space="preserve">Values to set</t>
  </si>
  <si>
    <t xml:space="preserve">memory_limit</t>
  </si>
  <si>
    <t xml:space="preserve">post_max_size</t>
  </si>
  <si>
    <t xml:space="preserve">upload_max_filesize</t>
  </si>
  <si>
    <t xml:space="preserve">max_execution_time</t>
  </si>
  <si>
    <t xml:space="preserve">max_input_time</t>
  </si>
  <si>
    <t xml:space="preserve">opcache.enable</t>
  </si>
  <si>
    <t xml:space="preserve">On</t>
  </si>
  <si>
    <t xml:space="preserve">pm</t>
  </si>
  <si>
    <t xml:space="preserve">pm.max_children</t>
  </si>
  <si>
    <t xml:space="preserve">The smaller of what RAM allows and what the cores can serve. Your sheet had 10, 25, 60 and 120; 120 workers on Scale would need more RAM than the plan has.</t>
  </si>
  <si>
    <t xml:space="preserve">pm.start_servers</t>
  </si>
  <si>
    <t xml:space="preserve">Dynamic mode only: 3 per core.</t>
  </si>
  <si>
    <t xml:space="preserve">pm.min_spare_servers</t>
  </si>
  <si>
    <t xml:space="preserve">Dynamic mode only: 2 per core.</t>
  </si>
  <si>
    <t xml:space="preserve">pm.max_spare_servers</t>
  </si>
  <si>
    <t xml:space="preserve">Dynamic mode only: 4 per core.</t>
  </si>
  <si>
    <t xml:space="preserve">Checks</t>
  </si>
  <si>
    <t xml:space="preserve">pm.max_children is limited by</t>
  </si>
  <si>
    <t xml:space="preserve">Starter and Growth have the same 2 cores, so they get the same worker count.</t>
  </si>
  <si>
    <t xml:space="preserve">Typical PHP RAM use at full load (MB)</t>
  </si>
  <si>
    <t xml:space="preserve">pm.max_children x average worker size.</t>
  </si>
  <si>
    <t xml:space="preserve">As a share of plan RAM</t>
  </si>
  <si>
    <t xml:space="preserve">Should be at or under the share set above.</t>
  </si>
  <si>
    <t xml:space="preserve">post_max_size covers upload_max_filesize</t>
  </si>
  <si>
    <t xml:space="preserve">memory_limit covers post_max_size</t>
  </si>
  <si>
    <t xml:space="preserve">Equal is fine: uploaded files are written to disk, not held in memory.</t>
  </si>
  <si>
    <t xml:space="preserve">Worst case if every worker hits memory_limit (x plan RAM)</t>
  </si>
  <si>
    <t xml:space="preserve">Above 1.0x on any host that shares RAM, so it is a comparison figure, not a pass/fail. Your sheet's Pro (60 workers x 2G on 6 GB) was 20x.</t>
  </si>
  <si>
    <t xml:space="preserve">PHP versions</t>
  </si>
  <si>
    <t xml:space="preserve">PHP 8.2</t>
  </si>
  <si>
    <t xml:space="preserve">31 Dec 2026</t>
  </si>
  <si>
    <t xml:space="preserve">Legacy sites only. Stop offering it to new accounts.</t>
  </si>
  <si>
    <t xml:space="preserve">Security support end date. Source: php.net/supported-versions.php, read 11 Oct 2026.</t>
  </si>
  <si>
    <t xml:space="preserve">PHP 8.3</t>
  </si>
  <si>
    <t xml:space="preserve">31 Dec 2027</t>
  </si>
  <si>
    <t xml:space="preserve">Offer.</t>
  </si>
  <si>
    <t xml:space="preserve">PHP 8.4</t>
  </si>
  <si>
    <t xml:space="preserve">31 Dec 2028</t>
  </si>
  <si>
    <t xml:space="preserve">Default for new accounts.</t>
  </si>
  <si>
    <t xml:space="preserve">PHP 8.5</t>
  </si>
  <si>
    <t xml:space="preserve">31 Dec 2029</t>
  </si>
  <si>
    <t xml:space="preserve">Offer once your stack and common plugins are tested on it.</t>
  </si>
  <si>
    <t xml:space="preserve">Add-ons</t>
  </si>
  <si>
    <t xml:space="preserve">Prices are from your sheet. Blue = value you can change. Yellow = needs your decision.</t>
  </si>
  <si>
    <t xml:space="preserve">Add-on</t>
  </si>
  <si>
    <t xml:space="preserve">Size (GB)</t>
  </si>
  <si>
    <t xml:space="preserve">Price per month ($)</t>
  </si>
  <si>
    <t xml:space="preserve">$ per GB</t>
  </si>
  <si>
    <t xml:space="preserve">Decision</t>
  </si>
  <si>
    <t xml:space="preserve">Offsite backup</t>
  </si>
  <si>
    <t xml:space="preserve">Keep</t>
  </si>
  <si>
    <t xml:space="preserve">Confirm size</t>
  </si>
  <si>
    <t xml:space="preserve">Your sheet says '20 gb' at $35, after 100 GB at $20. I have assumed 200 GB.</t>
  </si>
  <si>
    <t xml:space="preserve">Page Speed Boost</t>
  </si>
  <si>
    <t xml:space="preserve">Extra Layer Security</t>
  </si>
  <si>
    <t xml:space="preserve">Define or remove</t>
  </si>
  <si>
    <t xml:space="preserve">Say what it adds beyond Imunify360 and DDoS protection, which every plan already has.</t>
  </si>
  <si>
    <t xml:space="preserve">Automatic malware scanning</t>
  </si>
  <si>
    <t xml:space="preserve">Remove</t>
  </si>
  <si>
    <t xml:space="preserve">Imunify360 is included in every plan and already scans for malware.</t>
  </si>
  <si>
    <t xml:space="preserve">Where each current plan lands</t>
  </si>
  <si>
    <t xml:space="preserve">Existing customers stay on their current plan and price. This shows which new plan a new buyer of each type would choose, matched on storage and resource type (my judgement; change column I and the prices follow). Current plans and prices: dronahost.com plan pages, read 11 Oct 2026.</t>
  </si>
  <si>
    <t xml:space="preserve">Current page</t>
  </si>
  <si>
    <t xml:space="preserve">Current plan</t>
  </si>
  <si>
    <t xml:space="preserve">Pay price ($/mo)</t>
  </si>
  <si>
    <t xml:space="preserve">Regular price ($/mo)</t>
  </si>
  <si>
    <t xml:space="preserve">Term (months)</t>
  </si>
  <si>
    <t xml:space="preserve">Storage (GB)</t>
  </si>
  <si>
    <t xml:space="preserve">Other specs</t>
  </si>
  <si>
    <t xml:space="preserve">Nearest new plan</t>
  </si>
  <si>
    <t xml:space="preserve">New price ($/mo)</t>
  </si>
  <si>
    <t xml:space="preserve">Change vs pay price</t>
  </si>
  <si>
    <t xml:space="preserve">Change vs regular price</t>
  </si>
  <si>
    <t xml:space="preserve">Cloud</t>
  </si>
  <si>
    <t xml:space="preserve">StartUp</t>
  </si>
  <si>
    <t xml:space="preserve">5 mailboxes</t>
  </si>
  <si>
    <t xml:space="preserve">Starter allows 2 sites against 5 today.</t>
  </si>
  <si>
    <t xml:space="preserve">25 mailboxes</t>
  </si>
  <si>
    <t xml:space="preserve">Starter allows 2 sites and 10 mailboxes. Buyers with more sites need Growth or Pro.</t>
  </si>
  <si>
    <t xml:space="preserve">Premium</t>
  </si>
  <si>
    <t xml:space="preserve">Ultimate</t>
  </si>
  <si>
    <t xml:space="preserve">50 mailboxes, 3 GB RAM</t>
  </si>
  <si>
    <t xml:space="preserve">Same storage and RAM as Starter, but unlimited sites and 50 mailboxes today.</t>
  </si>
  <si>
    <t xml:space="preserve">WordPress</t>
  </si>
  <si>
    <t xml:space="preserve">50 mailboxes</t>
  </si>
  <si>
    <t xml:space="preserve">Growth allows 5 sites and 25 mailboxes.</t>
  </si>
  <si>
    <t xml:space="preserve">Pro allows 25 sites.</t>
  </si>
  <si>
    <t xml:space="preserve">Business</t>
  </si>
  <si>
    <t xml:space="preserve">2 cores, 3 GB RAM</t>
  </si>
  <si>
    <t xml:space="preserve">Same storage, cores and RAM as Starter, but unlimited sites and mailboxes today.</t>
  </si>
  <si>
    <t xml:space="preserve">Enhance</t>
  </si>
  <si>
    <t xml:space="preserve">Same storage as Growth, with 1 GB less RAM today.</t>
  </si>
  <si>
    <t xml:space="preserve">GrowBig</t>
  </si>
  <si>
    <t xml:space="preserve">2 cores, 4 GB RAM</t>
  </si>
  <si>
    <t xml:space="preserve">Pro has the same storage with more cores and RAM.</t>
  </si>
  <si>
    <t xml:space="preserve">Expand</t>
  </si>
  <si>
    <t xml:space="preserve">2 cores, 6 GB RAM</t>
  </si>
  <si>
    <t xml:space="preserve">Has 60 GB more than Pro; sell extra storage or move to Scale.</t>
  </si>
  <si>
    <t xml:space="preserve">VPS</t>
  </si>
  <si>
    <t xml:space="preserve">1 core, 2 GB RAM</t>
  </si>
  <si>
    <t xml:space="preserve">Pro has more of everything but is semi-dedicated.</t>
  </si>
  <si>
    <t xml:space="preserve">Pro ($49.99) has more cores, RAM and storage if semi-dedicated resources are acceptable.</t>
  </si>
  <si>
    <t xml:space="preserve">4 cores, 8 GB RAM</t>
  </si>
  <si>
    <t xml:space="preserve">Scale has twice the cores and nearly twice the storage.</t>
  </si>
  <si>
    <t xml:space="preserve">Expend</t>
  </si>
  <si>
    <t xml:space="preserve">Dedicated Core</t>
  </si>
  <si>
    <t xml:space="preserve">Above Scale's storage, so this goes to the 'Talk to us' strip.</t>
  </si>
  <si>
    <t xml:space="preserve">Plans that cost a new buyer more than today's pay price</t>
  </si>
  <si>
    <t xml:space="preserve">Plans that cost a new buyer more than today's regular price</t>
  </si>
  <si>
    <t xml:space="preserve">Do or confirm before launch</t>
  </si>
  <si>
    <t xml:space="preserve">#</t>
  </si>
  <si>
    <t xml:space="preserve">Item</t>
  </si>
  <si>
    <t xml:space="preserve">Why it matters</t>
  </si>
  <si>
    <t xml:space="preserve">Owner</t>
  </si>
  <si>
    <t xml:space="preserve">Done</t>
  </si>
  <si>
    <t xml:space="preserve">Remove the 'from $1.10' and 'SAVE 87%' pricing when the new plans go live</t>
  </si>
  <si>
    <t xml:space="preserve">Strike-through discount prices are the bargain signal the new positioning is meant to avoid.</t>
  </si>
  <si>
    <t xml:space="preserve">Fix the proof on the site</t>
  </si>
  <si>
    <t xml:space="preserve">Testimonials have no business names, page titles say 2024, and the VPS page says 'Join XYZ Pre-Managed VPS Hosting' (read 11 Oct 2026). These matter more at $14.99 than at $1.10.</t>
  </si>
  <si>
    <t xml:space="preserve">Fix the canonical tags on the plan pages</t>
  </si>
  <si>
    <t xml:space="preserve">When I read them on 11 Oct 2026, all four plan pages declared the homepage as canonical.</t>
  </si>
  <si>
    <t xml:space="preserve">Set a 90-day review</t>
  </si>
  <si>
    <t xml:space="preserve">If paid orders fall by more than half and enquiries have not improved in quality, add a lower-priced single-site plan. Record today's monthly orders now so there is a baseline.</t>
  </si>
  <si>
    <t xml:space="preserve">Confirm Starter's limit of 2 sites and 10 mailboxes</t>
  </si>
  <si>
    <t xml:space="preserve">Seven of today's plans map to Starter and all of them allow 5 or unlimited sites. See the Old to new tab.</t>
  </si>
  <si>
    <t xml:space="preserve">Make Dedicated Core better than Scale on every limit</t>
  </si>
  <si>
    <t xml:space="preserve">Your sheet gave it 5 domains, 10 databases and 600% CPU, below Scale's unlimited and 800%.</t>
  </si>
  <si>
    <t xml:space="preserve">Confirm backup retention of 7, 14, 30 and 30 days</t>
  </si>
  <si>
    <t xml:space="preserve">My suggestion, up from 1, 7, 7, 7 in your sheet. It uses more backup storage.</t>
  </si>
  <si>
    <t xml:space="preserve">Confirm the 25% extra for monthly billing</t>
  </si>
  <si>
    <t xml:space="preserve">My suggestion; set on the Plans tab.</t>
  </si>
  <si>
    <t xml:space="preserve">Load test each tier and fill in visits per month</t>
  </si>
  <si>
    <t xml:space="preserve">The Plans tab shows TBC. Small-business buyers compare on visits, not GB of bandwidth.</t>
  </si>
  <si>
    <t xml:space="preserve">Confirm whether MySQL and Redis share the plan's RAM limit</t>
  </si>
  <si>
    <t xml:space="preserve">The PHP settings tab gives PHP workers 70% of RAM. If the database counts against the same limit, lower it or sites will run out of memory under load.</t>
  </si>
  <si>
    <t xml:space="preserve">Measure real PHP worker size and a sensible workers-per-core figure</t>
  </si>
  <si>
    <t xml:space="preserve">pm.max_children depends on both; 80 to 110 MB and 10 per core are my estimates.</t>
  </si>
  <si>
    <t xml:space="preserve">Confirm the largest offsite backup add-on is 200 GB</t>
  </si>
  <si>
    <t xml:space="preserve">Your sheet says 20 GB at $35.</t>
  </si>
  <si>
    <t xml:space="preserve">Define or remove Extra Layer Security</t>
  </si>
  <si>
    <t xml:space="preserve">Every plan already includes Imunify360 and DDoS protection.</t>
  </si>
  <si>
    <t xml:space="preserve">Move new accounts off PHP 8.2</t>
  </si>
  <si>
    <t xml:space="preserve">Security support for 8.2 ends 31 Dec 2026 (php.net/supported-versions.php).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</si>
</sst>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\x"/>
    <numFmt numFmtId="167" formatCode="0%"/>
    <numFmt numFmtId="168" formatCode="\$#,##0"/>
    <numFmt numFmtId="169" formatCode="General"/>
    <numFmt numFmtId="170" formatCode="#,##0"/>
    <numFmt numFmtId="171" formatCode="&quot;+$&quot;#,##0.00;&quot;-$&quot;#,##0.00;\$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22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/>
      <c r="C5" s="7" t="s">
        <v>9</v>
      </c>
      <c r="D5" s="6"/>
      <c r="E5" s="6"/>
      <c r="F5" s="8" t="s">
        <v>10</v>
      </c>
    </row>
    <row r="6" customFormat="false" ht="23.85" hidden="false" customHeight="false" outlineLevel="0" collapsed="false">
      <c r="A6" s="5" t="s">
        <v>11</v>
      </c>
      <c r="B6" s="6" t="s">
        <v>12</v>
      </c>
      <c r="C6" s="7" t="s">
        <v>13</v>
      </c>
      <c r="D6" s="6" t="s">
        <v>14</v>
      </c>
      <c r="E6" s="6" t="s">
        <v>15</v>
      </c>
      <c r="F6" s="8"/>
    </row>
    <row r="7" customFormat="false" ht="15" hidden="false" customHeight="false" outlineLevel="0" collapsed="false">
      <c r="A7" s="9" t="s">
        <v>16</v>
      </c>
      <c r="B7" s="9"/>
      <c r="C7" s="9"/>
      <c r="D7" s="9"/>
      <c r="E7" s="9"/>
      <c r="F7" s="9"/>
    </row>
    <row r="8" customFormat="false" ht="32.8" hidden="false" customHeight="false" outlineLevel="0" collapsed="false">
      <c r="A8" s="5" t="s">
        <v>17</v>
      </c>
      <c r="B8" s="10" t="n">
        <v>14.99</v>
      </c>
      <c r="C8" s="11" t="n">
        <v>21.99</v>
      </c>
      <c r="D8" s="10" t="n">
        <v>49.99</v>
      </c>
      <c r="E8" s="10" t="n">
        <v>149.99</v>
      </c>
      <c r="F8" s="8" t="s">
        <v>18</v>
      </c>
    </row>
    <row r="9" customFormat="false" ht="15" hidden="false" customHeight="false" outlineLevel="0" collapsed="false">
      <c r="A9" s="5" t="s">
        <v>19</v>
      </c>
      <c r="B9" s="12" t="n">
        <f aca="false">ROUND(B8*(1+$B$37),0)-0.01</f>
        <v>18.99</v>
      </c>
      <c r="C9" s="13" t="n">
        <f aca="false">ROUND(C8*(1+$B$37),0)-0.01</f>
        <v>26.99</v>
      </c>
      <c r="D9" s="12" t="n">
        <f aca="false">ROUND(D8*(1+$B$37),0)-0.01</f>
        <v>61.99</v>
      </c>
      <c r="E9" s="12" t="n">
        <f aca="false">ROUND(E8*(1+$B$37),0)-0.01</f>
        <v>186.99</v>
      </c>
      <c r="F9" s="8" t="s">
        <v>20</v>
      </c>
    </row>
    <row r="10" customFormat="false" ht="15" hidden="false" customHeight="false" outlineLevel="0" collapsed="false">
      <c r="A10" s="5" t="s">
        <v>21</v>
      </c>
      <c r="B10" s="12" t="n">
        <f aca="false">B8*12</f>
        <v>179.88</v>
      </c>
      <c r="C10" s="13" t="n">
        <f aca="false">C8*12</f>
        <v>263.88</v>
      </c>
      <c r="D10" s="12" t="n">
        <f aca="false">D8*12</f>
        <v>599.88</v>
      </c>
      <c r="E10" s="12" t="n">
        <f aca="false">E8*12</f>
        <v>1799.88</v>
      </c>
      <c r="F10" s="8" t="s">
        <v>22</v>
      </c>
    </row>
    <row r="11" customFormat="false" ht="15" hidden="false" customHeight="false" outlineLevel="0" collapsed="false">
      <c r="A11" s="5" t="s">
        <v>23</v>
      </c>
      <c r="B11" s="14" t="s">
        <v>24</v>
      </c>
      <c r="C11" s="15" t="n">
        <f aca="false">C8/B8</f>
        <v>1.46697798532355</v>
      </c>
      <c r="D11" s="16" t="n">
        <f aca="false">D8/C8</f>
        <v>2.27330604820373</v>
      </c>
      <c r="E11" s="16" t="n">
        <f aca="false">E8/D8</f>
        <v>3.000400080016</v>
      </c>
      <c r="F11" s="8" t="s">
        <v>25</v>
      </c>
    </row>
    <row r="12" customFormat="false" ht="15" hidden="false" customHeight="false" outlineLevel="0" collapsed="false">
      <c r="A12" s="9" t="s">
        <v>26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5" t="s">
        <v>27</v>
      </c>
      <c r="B13" s="6" t="n">
        <v>2</v>
      </c>
      <c r="C13" s="7" t="n">
        <v>5</v>
      </c>
      <c r="D13" s="6" t="n">
        <v>25</v>
      </c>
      <c r="E13" s="6" t="s">
        <v>28</v>
      </c>
      <c r="F13" s="8" t="s">
        <v>29</v>
      </c>
    </row>
    <row r="14" customFormat="false" ht="15" hidden="false" customHeight="false" outlineLevel="0" collapsed="false">
      <c r="A14" s="5" t="s">
        <v>30</v>
      </c>
      <c r="B14" s="6" t="n">
        <v>50</v>
      </c>
      <c r="C14" s="7" t="n">
        <v>80</v>
      </c>
      <c r="D14" s="6" t="n">
        <v>100</v>
      </c>
      <c r="E14" s="6" t="n">
        <v>150</v>
      </c>
      <c r="F14" s="8" t="s">
        <v>31</v>
      </c>
    </row>
    <row r="15" customFormat="false" ht="15" hidden="false" customHeight="false" outlineLevel="0" collapsed="false">
      <c r="A15" s="5" t="s">
        <v>32</v>
      </c>
      <c r="B15" s="6" t="n">
        <v>10</v>
      </c>
      <c r="C15" s="7" t="n">
        <v>25</v>
      </c>
      <c r="D15" s="6" t="n">
        <v>100</v>
      </c>
      <c r="E15" s="6" t="s">
        <v>28</v>
      </c>
      <c r="F15" s="8" t="s">
        <v>31</v>
      </c>
    </row>
    <row r="16" customFormat="false" ht="15" hidden="false" customHeight="false" outlineLevel="0" collapsed="false">
      <c r="A16" s="5" t="s">
        <v>33</v>
      </c>
      <c r="B16" s="6" t="n">
        <v>4</v>
      </c>
      <c r="C16" s="7" t="n">
        <v>10</v>
      </c>
      <c r="D16" s="6" t="n">
        <v>50</v>
      </c>
      <c r="E16" s="6" t="s">
        <v>28</v>
      </c>
      <c r="F16" s="8" t="s">
        <v>31</v>
      </c>
    </row>
    <row r="17" customFormat="false" ht="22.35" hidden="false" customHeight="false" outlineLevel="0" collapsed="false">
      <c r="A17" s="5" t="s">
        <v>34</v>
      </c>
      <c r="B17" s="6" t="n">
        <v>7</v>
      </c>
      <c r="C17" s="7" t="n">
        <v>14</v>
      </c>
      <c r="D17" s="6" t="n">
        <v>30</v>
      </c>
      <c r="E17" s="6" t="n">
        <v>30</v>
      </c>
      <c r="F17" s="8" t="s">
        <v>35</v>
      </c>
    </row>
    <row r="18" customFormat="false" ht="15" hidden="false" customHeight="false" outlineLevel="0" collapsed="false">
      <c r="A18" s="5" t="s">
        <v>36</v>
      </c>
      <c r="B18" s="17" t="s">
        <v>37</v>
      </c>
      <c r="C18" s="17" t="s">
        <v>37</v>
      </c>
      <c r="D18" s="17" t="s">
        <v>37</v>
      </c>
      <c r="E18" s="17" t="s">
        <v>37</v>
      </c>
      <c r="F18" s="8" t="s">
        <v>38</v>
      </c>
    </row>
    <row r="19" customFormat="false" ht="15" hidden="false" customHeight="false" outlineLevel="0" collapsed="false">
      <c r="A19" s="5" t="s">
        <v>39</v>
      </c>
      <c r="B19" s="6" t="n">
        <v>200</v>
      </c>
      <c r="C19" s="7" t="n">
        <v>500</v>
      </c>
      <c r="D19" s="6" t="n">
        <v>1000</v>
      </c>
      <c r="E19" s="6" t="s">
        <v>28</v>
      </c>
      <c r="F19" s="8" t="s">
        <v>40</v>
      </c>
    </row>
    <row r="20" customFormat="false" ht="22.35" hidden="false" customHeight="false" outlineLevel="0" collapsed="false">
      <c r="A20" s="5" t="s">
        <v>41</v>
      </c>
      <c r="B20" s="6" t="s">
        <v>42</v>
      </c>
      <c r="C20" s="7" t="s">
        <v>43</v>
      </c>
      <c r="D20" s="6" t="s">
        <v>44</v>
      </c>
      <c r="E20" s="6" t="s">
        <v>45</v>
      </c>
      <c r="F20" s="8" t="s">
        <v>46</v>
      </c>
    </row>
    <row r="21" customFormat="false" ht="15" hidden="false" customHeight="false" outlineLevel="0" collapsed="false">
      <c r="A21" s="5" t="s">
        <v>47</v>
      </c>
      <c r="B21" s="6" t="s">
        <v>48</v>
      </c>
      <c r="C21" s="7" t="s">
        <v>48</v>
      </c>
      <c r="D21" s="6" t="s">
        <v>49</v>
      </c>
      <c r="E21" s="6" t="s">
        <v>49</v>
      </c>
      <c r="F21" s="8" t="s">
        <v>31</v>
      </c>
    </row>
    <row r="22" customFormat="false" ht="15" hidden="false" customHeight="false" outlineLevel="0" collapsed="false">
      <c r="A22" s="5" t="s">
        <v>50</v>
      </c>
      <c r="B22" s="6" t="s">
        <v>48</v>
      </c>
      <c r="C22" s="7" t="s">
        <v>48</v>
      </c>
      <c r="D22" s="6" t="s">
        <v>48</v>
      </c>
      <c r="E22" s="6" t="s">
        <v>49</v>
      </c>
      <c r="F22" s="8" t="s">
        <v>51</v>
      </c>
    </row>
    <row r="23" customFormat="false" ht="23.85" hidden="false" customHeight="false" outlineLevel="0" collapsed="false">
      <c r="A23" s="9" t="s">
        <v>52</v>
      </c>
      <c r="B23" s="9"/>
      <c r="C23" s="9"/>
      <c r="D23" s="9"/>
      <c r="E23" s="9"/>
      <c r="F23" s="9"/>
    </row>
    <row r="24" customFormat="false" ht="15" hidden="false" customHeight="false" outlineLevel="0" collapsed="false">
      <c r="A24" s="5" t="s">
        <v>53</v>
      </c>
      <c r="B24" s="6" t="s">
        <v>54</v>
      </c>
      <c r="C24" s="7" t="s">
        <v>54</v>
      </c>
      <c r="D24" s="6" t="s">
        <v>55</v>
      </c>
      <c r="E24" s="6" t="s">
        <v>56</v>
      </c>
      <c r="F24" s="8" t="s">
        <v>31</v>
      </c>
    </row>
    <row r="25" customFormat="false" ht="15" hidden="false" customHeight="false" outlineLevel="0" collapsed="false">
      <c r="A25" s="5" t="s">
        <v>57</v>
      </c>
      <c r="B25" s="6" t="n">
        <v>2</v>
      </c>
      <c r="C25" s="7" t="n">
        <v>2</v>
      </c>
      <c r="D25" s="6" t="n">
        <v>4</v>
      </c>
      <c r="E25" s="6" t="n">
        <v>8</v>
      </c>
      <c r="F25" s="8" t="s">
        <v>58</v>
      </c>
    </row>
    <row r="26" customFormat="false" ht="15" hidden="false" customHeight="false" outlineLevel="0" collapsed="false">
      <c r="A26" s="5" t="s">
        <v>59</v>
      </c>
      <c r="B26" s="6" t="n">
        <v>3</v>
      </c>
      <c r="C26" s="7" t="n">
        <v>4</v>
      </c>
      <c r="D26" s="6" t="n">
        <v>6</v>
      </c>
      <c r="E26" s="6" t="n">
        <v>8</v>
      </c>
      <c r="F26" s="8" t="s">
        <v>31</v>
      </c>
    </row>
    <row r="27" customFormat="false" ht="15" hidden="false" customHeight="false" outlineLevel="0" collapsed="false">
      <c r="A27" s="9" t="s">
        <v>60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5" t="s">
        <v>61</v>
      </c>
      <c r="B28" s="6" t="s">
        <v>49</v>
      </c>
      <c r="C28" s="7" t="s">
        <v>49</v>
      </c>
      <c r="D28" s="6" t="s">
        <v>49</v>
      </c>
      <c r="E28" s="6" t="s">
        <v>49</v>
      </c>
      <c r="F28" s="8"/>
    </row>
    <row r="29" customFormat="false" ht="15" hidden="false" customHeight="false" outlineLevel="0" collapsed="false">
      <c r="A29" s="5" t="s">
        <v>62</v>
      </c>
      <c r="B29" s="6" t="s">
        <v>49</v>
      </c>
      <c r="C29" s="7" t="s">
        <v>49</v>
      </c>
      <c r="D29" s="6" t="s">
        <v>49</v>
      </c>
      <c r="E29" s="6" t="s">
        <v>49</v>
      </c>
      <c r="F29" s="8"/>
    </row>
    <row r="30" customFormat="false" ht="15" hidden="false" customHeight="false" outlineLevel="0" collapsed="false">
      <c r="A30" s="5" t="s">
        <v>63</v>
      </c>
      <c r="B30" s="6" t="s">
        <v>49</v>
      </c>
      <c r="C30" s="7" t="s">
        <v>49</v>
      </c>
      <c r="D30" s="6" t="s">
        <v>49</v>
      </c>
      <c r="E30" s="6" t="s">
        <v>49</v>
      </c>
      <c r="F30" s="8" t="s">
        <v>64</v>
      </c>
    </row>
    <row r="31" customFormat="false" ht="15" hidden="false" customHeight="false" outlineLevel="0" collapsed="false">
      <c r="A31" s="5" t="s">
        <v>65</v>
      </c>
      <c r="B31" s="6" t="s">
        <v>49</v>
      </c>
      <c r="C31" s="7" t="s">
        <v>49</v>
      </c>
      <c r="D31" s="6" t="s">
        <v>49</v>
      </c>
      <c r="E31" s="6" t="s">
        <v>49</v>
      </c>
      <c r="F31" s="8" t="s">
        <v>66</v>
      </c>
    </row>
    <row r="32" customFormat="false" ht="15" hidden="false" customHeight="false" outlineLevel="0" collapsed="false">
      <c r="A32" s="5" t="s">
        <v>67</v>
      </c>
      <c r="B32" s="6" t="s">
        <v>49</v>
      </c>
      <c r="C32" s="7" t="s">
        <v>49</v>
      </c>
      <c r="D32" s="6" t="s">
        <v>49</v>
      </c>
      <c r="E32" s="6" t="s">
        <v>49</v>
      </c>
      <c r="F32" s="8"/>
    </row>
    <row r="33" customFormat="false" ht="15" hidden="false" customHeight="false" outlineLevel="0" collapsed="false">
      <c r="A33" s="5" t="s">
        <v>68</v>
      </c>
      <c r="B33" s="6" t="s">
        <v>49</v>
      </c>
      <c r="C33" s="7" t="s">
        <v>49</v>
      </c>
      <c r="D33" s="6" t="s">
        <v>49</v>
      </c>
      <c r="E33" s="6" t="s">
        <v>49</v>
      </c>
      <c r="F33" s="8" t="s">
        <v>69</v>
      </c>
    </row>
    <row r="34" customFormat="false" ht="15" hidden="false" customHeight="false" outlineLevel="0" collapsed="false">
      <c r="A34" s="5" t="s">
        <v>70</v>
      </c>
      <c r="B34" s="6" t="s">
        <v>49</v>
      </c>
      <c r="C34" s="7" t="s">
        <v>49</v>
      </c>
      <c r="D34" s="6" t="s">
        <v>49</v>
      </c>
      <c r="E34" s="6" t="s">
        <v>49</v>
      </c>
      <c r="F34" s="8" t="s">
        <v>71</v>
      </c>
    </row>
    <row r="36" customFormat="false" ht="15" hidden="false" customHeight="false" outlineLevel="0" collapsed="false">
      <c r="A36" s="9" t="s">
        <v>72</v>
      </c>
      <c r="B36" s="9"/>
      <c r="C36" s="9"/>
      <c r="D36" s="9"/>
      <c r="E36" s="9"/>
      <c r="F36" s="9"/>
    </row>
    <row r="37" customFormat="false" ht="15" hidden="false" customHeight="false" outlineLevel="0" collapsed="false">
      <c r="A37" s="5" t="s">
        <v>73</v>
      </c>
      <c r="B37" s="18" t="n">
        <v>0.25</v>
      </c>
      <c r="F37" s="8" t="s">
        <v>74</v>
      </c>
    </row>
    <row r="39" customFormat="false" ht="23.85" hidden="false" customHeight="false" outlineLevel="0" collapsed="false">
      <c r="A39" s="9" t="s">
        <v>75</v>
      </c>
      <c r="B39" s="9"/>
      <c r="C39" s="9"/>
      <c r="D39" s="9"/>
      <c r="E39" s="9"/>
      <c r="F39" s="9"/>
    </row>
    <row r="40" customFormat="false" ht="15" hidden="false" customHeight="false" outlineLevel="0" collapsed="false">
      <c r="A40" s="5" t="s">
        <v>76</v>
      </c>
      <c r="B40" s="19" t="n">
        <v>300</v>
      </c>
      <c r="F40" s="8" t="s">
        <v>31</v>
      </c>
    </row>
    <row r="41" customFormat="false" ht="15" hidden="false" customHeight="false" outlineLevel="0" collapsed="false">
      <c r="A41" s="5" t="s">
        <v>77</v>
      </c>
      <c r="B41" s="6" t="s">
        <v>78</v>
      </c>
      <c r="F41" s="8" t="s">
        <v>79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true" outlineLevel="0" collapsed="false">
      <c r="A2" s="2" t="s">
        <v>81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9" t="s">
        <v>83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5" t="s">
        <v>59</v>
      </c>
      <c r="B6" s="20" t="n">
        <f aca="false">Plans!B26</f>
        <v>3</v>
      </c>
      <c r="C6" s="20" t="n">
        <f aca="false">Plans!C26</f>
        <v>4</v>
      </c>
      <c r="D6" s="20" t="n">
        <f aca="false">Plans!D26</f>
        <v>6</v>
      </c>
      <c r="E6" s="20" t="n">
        <f aca="false">Plans!E26</f>
        <v>8</v>
      </c>
      <c r="F6" s="8" t="s">
        <v>84</v>
      </c>
    </row>
    <row r="7" customFormat="false" ht="15" hidden="false" customHeight="false" outlineLevel="0" collapsed="false">
      <c r="A7" s="5" t="s">
        <v>57</v>
      </c>
      <c r="B7" s="20" t="n">
        <f aca="false">Plans!B25</f>
        <v>2</v>
      </c>
      <c r="C7" s="20" t="n">
        <f aca="false">Plans!C25</f>
        <v>2</v>
      </c>
      <c r="D7" s="20" t="n">
        <f aca="false">Plans!D25</f>
        <v>4</v>
      </c>
      <c r="E7" s="20" t="n">
        <f aca="false">Plans!E25</f>
        <v>8</v>
      </c>
      <c r="F7" s="8" t="s">
        <v>84</v>
      </c>
    </row>
    <row r="8" customFormat="false" ht="22.35" hidden="false" customHeight="false" outlineLevel="0" collapsed="false">
      <c r="A8" s="5" t="s">
        <v>85</v>
      </c>
      <c r="B8" s="21" t="n">
        <v>0.7</v>
      </c>
      <c r="C8" s="21" t="n">
        <v>0.7</v>
      </c>
      <c r="D8" s="21" t="n">
        <v>0.7</v>
      </c>
      <c r="E8" s="21" t="n">
        <v>0.7</v>
      </c>
      <c r="F8" s="8" t="s">
        <v>86</v>
      </c>
    </row>
    <row r="9" customFormat="false" ht="22.35" hidden="false" customHeight="false" outlineLevel="0" collapsed="false">
      <c r="A9" s="5" t="s">
        <v>87</v>
      </c>
      <c r="B9" s="17" t="n">
        <v>80</v>
      </c>
      <c r="C9" s="17" t="n">
        <v>90</v>
      </c>
      <c r="D9" s="17" t="n">
        <v>100</v>
      </c>
      <c r="E9" s="17" t="n">
        <v>110</v>
      </c>
      <c r="F9" s="8" t="s">
        <v>88</v>
      </c>
    </row>
    <row r="10" customFormat="false" ht="22.35" hidden="false" customHeight="false" outlineLevel="0" collapsed="false">
      <c r="A10" s="5" t="s">
        <v>89</v>
      </c>
      <c r="B10" s="17" t="n">
        <v>10</v>
      </c>
      <c r="C10" s="17" t="n">
        <v>10</v>
      </c>
      <c r="D10" s="17" t="n">
        <v>10</v>
      </c>
      <c r="E10" s="17" t="n">
        <v>10</v>
      </c>
      <c r="F10" s="8" t="s">
        <v>90</v>
      </c>
    </row>
    <row r="11" customFormat="false" ht="15" hidden="false" customHeight="false" outlineLevel="0" collapsed="false">
      <c r="A11" s="9" t="s">
        <v>91</v>
      </c>
      <c r="B11" s="9"/>
      <c r="C11" s="9"/>
      <c r="D11" s="9"/>
      <c r="E11" s="9"/>
      <c r="F11" s="9"/>
    </row>
    <row r="12" customFormat="false" ht="22.35" hidden="false" customHeight="false" outlineLevel="0" collapsed="false">
      <c r="A12" s="5" t="s">
        <v>92</v>
      </c>
      <c r="B12" s="6" t="n">
        <v>512</v>
      </c>
      <c r="C12" s="6" t="n">
        <v>512</v>
      </c>
      <c r="D12" s="6" t="n">
        <v>768</v>
      </c>
      <c r="E12" s="6" t="n">
        <v>1024</v>
      </c>
      <c r="F12" s="8" t="s">
        <v>93</v>
      </c>
    </row>
    <row r="13" customFormat="false" ht="15" hidden="false" customHeight="false" outlineLevel="0" collapsed="false">
      <c r="A13" s="5" t="s">
        <v>94</v>
      </c>
      <c r="B13" s="6" t="n">
        <v>256</v>
      </c>
      <c r="C13" s="6" t="n">
        <v>512</v>
      </c>
      <c r="D13" s="6" t="n">
        <v>512</v>
      </c>
      <c r="E13" s="6" t="n">
        <v>1024</v>
      </c>
      <c r="F13" s="8" t="s">
        <v>95</v>
      </c>
    </row>
    <row r="14" customFormat="false" ht="15" hidden="false" customHeight="false" outlineLevel="0" collapsed="false">
      <c r="A14" s="5" t="s">
        <v>96</v>
      </c>
      <c r="B14" s="6" t="n">
        <v>256</v>
      </c>
      <c r="C14" s="6" t="n">
        <v>512</v>
      </c>
      <c r="D14" s="6" t="n">
        <v>512</v>
      </c>
      <c r="E14" s="6" t="n">
        <v>1024</v>
      </c>
      <c r="F14" s="8" t="s">
        <v>97</v>
      </c>
    </row>
    <row r="15" customFormat="false" ht="15" hidden="false" customHeight="false" outlineLevel="0" collapsed="false">
      <c r="A15" s="5" t="s">
        <v>98</v>
      </c>
      <c r="B15" s="6" t="n">
        <v>120</v>
      </c>
      <c r="C15" s="6" t="n">
        <v>240</v>
      </c>
      <c r="D15" s="6" t="n">
        <v>240</v>
      </c>
      <c r="E15" s="6" t="n">
        <v>300</v>
      </c>
      <c r="F15" s="8" t="s">
        <v>31</v>
      </c>
    </row>
    <row r="16" customFormat="false" ht="15" hidden="false" customHeight="false" outlineLevel="0" collapsed="false">
      <c r="A16" s="5" t="s">
        <v>99</v>
      </c>
      <c r="B16" s="6" t="n">
        <v>120</v>
      </c>
      <c r="C16" s="6" t="n">
        <v>240</v>
      </c>
      <c r="D16" s="6" t="n">
        <v>240</v>
      </c>
      <c r="E16" s="6" t="n">
        <v>300</v>
      </c>
      <c r="F16" s="8" t="s">
        <v>31</v>
      </c>
    </row>
    <row r="17" customFormat="false" ht="22.35" hidden="false" customHeight="false" outlineLevel="0" collapsed="false">
      <c r="A17" s="5" t="s">
        <v>100</v>
      </c>
      <c r="B17" s="6" t="n">
        <v>3000</v>
      </c>
      <c r="C17" s="6" t="n">
        <v>5000</v>
      </c>
      <c r="D17" s="6" t="n">
        <v>5000</v>
      </c>
      <c r="E17" s="6" t="n">
        <v>10000</v>
      </c>
      <c r="F17" s="8" t="s">
        <v>101</v>
      </c>
    </row>
    <row r="18" customFormat="false" ht="15" hidden="false" customHeight="false" outlineLevel="0" collapsed="false">
      <c r="A18" s="5" t="s">
        <v>102</v>
      </c>
      <c r="B18" s="6" t="n">
        <v>300</v>
      </c>
      <c r="C18" s="6" t="n">
        <v>500</v>
      </c>
      <c r="D18" s="6" t="n">
        <v>800</v>
      </c>
      <c r="E18" s="6" t="n">
        <v>1200</v>
      </c>
      <c r="F18" s="8" t="s">
        <v>31</v>
      </c>
    </row>
    <row r="19" customFormat="false" ht="15" hidden="false" customHeight="false" outlineLevel="0" collapsed="false">
      <c r="A19" s="5" t="s">
        <v>103</v>
      </c>
      <c r="B19" s="6" t="s">
        <v>104</v>
      </c>
      <c r="C19" s="6" t="s">
        <v>104</v>
      </c>
      <c r="D19" s="6" t="s">
        <v>105</v>
      </c>
      <c r="E19" s="6" t="s">
        <v>105</v>
      </c>
      <c r="F19" s="8" t="s">
        <v>106</v>
      </c>
    </row>
    <row r="20" customFormat="false" ht="15" hidden="false" customHeight="false" outlineLevel="0" collapsed="false">
      <c r="A20" s="9" t="s">
        <v>107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5" t="s">
        <v>108</v>
      </c>
      <c r="B21" s="22" t="str">
        <f aca="false">IF(MOD(B12,1024)=0,B12/1024&amp;"G",B12&amp;"M")</f>
        <v>512M</v>
      </c>
      <c r="C21" s="22" t="str">
        <f aca="false">IF(MOD(C12,1024)=0,C12/1024&amp;"G",C12&amp;"M")</f>
        <v>512M</v>
      </c>
      <c r="D21" s="22" t="str">
        <f aca="false">IF(MOD(D12,1024)=0,D12/1024&amp;"G",D12&amp;"M")</f>
        <v>768M</v>
      </c>
      <c r="E21" s="22" t="str">
        <f aca="false">IF(MOD(E12,1024)=0,E12/1024&amp;"G",E12&amp;"M")</f>
        <v>1G</v>
      </c>
      <c r="F21" s="8"/>
    </row>
    <row r="22" customFormat="false" ht="15" hidden="false" customHeight="false" outlineLevel="0" collapsed="false">
      <c r="A22" s="5" t="s">
        <v>109</v>
      </c>
      <c r="B22" s="22" t="str">
        <f aca="false">IF(MOD(B13,1024)=0,B13/1024&amp;"G",B13&amp;"M")</f>
        <v>256M</v>
      </c>
      <c r="C22" s="22" t="str">
        <f aca="false">IF(MOD(C13,1024)=0,C13/1024&amp;"G",C13&amp;"M")</f>
        <v>512M</v>
      </c>
      <c r="D22" s="22" t="str">
        <f aca="false">IF(MOD(D13,1024)=0,D13/1024&amp;"G",D13&amp;"M")</f>
        <v>512M</v>
      </c>
      <c r="E22" s="22" t="str">
        <f aca="false">IF(MOD(E13,1024)=0,E13/1024&amp;"G",E13&amp;"M")</f>
        <v>1G</v>
      </c>
      <c r="F22" s="8"/>
    </row>
    <row r="23" customFormat="false" ht="15" hidden="false" customHeight="false" outlineLevel="0" collapsed="false">
      <c r="A23" s="5" t="s">
        <v>110</v>
      </c>
      <c r="B23" s="22" t="str">
        <f aca="false">IF(MOD(B14,1024)=0,B14/1024&amp;"G",B14&amp;"M")</f>
        <v>256M</v>
      </c>
      <c r="C23" s="22" t="str">
        <f aca="false">IF(MOD(C14,1024)=0,C14/1024&amp;"G",C14&amp;"M")</f>
        <v>512M</v>
      </c>
      <c r="D23" s="22" t="str">
        <f aca="false">IF(MOD(D14,1024)=0,D14/1024&amp;"G",D14&amp;"M")</f>
        <v>512M</v>
      </c>
      <c r="E23" s="22" t="str">
        <f aca="false">IF(MOD(E14,1024)=0,E14/1024&amp;"G",E14&amp;"M")</f>
        <v>1G</v>
      </c>
      <c r="F23" s="8"/>
    </row>
    <row r="24" customFormat="false" ht="15" hidden="false" customHeight="false" outlineLevel="0" collapsed="false">
      <c r="A24" s="5" t="s">
        <v>111</v>
      </c>
      <c r="B24" s="22" t="n">
        <f aca="false">B15</f>
        <v>120</v>
      </c>
      <c r="C24" s="22" t="n">
        <f aca="false">C15</f>
        <v>240</v>
      </c>
      <c r="D24" s="22" t="n">
        <f aca="false">D15</f>
        <v>240</v>
      </c>
      <c r="E24" s="22" t="n">
        <f aca="false">E15</f>
        <v>300</v>
      </c>
      <c r="F24" s="8"/>
    </row>
    <row r="25" customFormat="false" ht="15" hidden="false" customHeight="false" outlineLevel="0" collapsed="false">
      <c r="A25" s="5" t="s">
        <v>112</v>
      </c>
      <c r="B25" s="22" t="n">
        <f aca="false">B16</f>
        <v>120</v>
      </c>
      <c r="C25" s="22" t="n">
        <f aca="false">C16</f>
        <v>240</v>
      </c>
      <c r="D25" s="22" t="n">
        <f aca="false">D16</f>
        <v>240</v>
      </c>
      <c r="E25" s="22" t="n">
        <f aca="false">E16</f>
        <v>300</v>
      </c>
      <c r="F25" s="8"/>
    </row>
    <row r="26" customFormat="false" ht="15" hidden="false" customHeight="false" outlineLevel="0" collapsed="false">
      <c r="A26" s="5" t="s">
        <v>100</v>
      </c>
      <c r="B26" s="22" t="n">
        <f aca="false">B17</f>
        <v>3000</v>
      </c>
      <c r="C26" s="22" t="n">
        <f aca="false">C17</f>
        <v>5000</v>
      </c>
      <c r="D26" s="22" t="n">
        <f aca="false">D17</f>
        <v>5000</v>
      </c>
      <c r="E26" s="22" t="n">
        <f aca="false">E17</f>
        <v>10000</v>
      </c>
      <c r="F26" s="8"/>
    </row>
    <row r="27" customFormat="false" ht="15" hidden="false" customHeight="false" outlineLevel="0" collapsed="false">
      <c r="A27" s="5" t="s">
        <v>113</v>
      </c>
      <c r="B27" s="6" t="s">
        <v>114</v>
      </c>
      <c r="C27" s="6" t="s">
        <v>114</v>
      </c>
      <c r="D27" s="6" t="s">
        <v>114</v>
      </c>
      <c r="E27" s="6" t="s">
        <v>114</v>
      </c>
      <c r="F27" s="8" t="s">
        <v>31</v>
      </c>
    </row>
    <row r="28" customFormat="false" ht="15" hidden="false" customHeight="false" outlineLevel="0" collapsed="false">
      <c r="A28" s="5" t="s">
        <v>115</v>
      </c>
      <c r="B28" s="22" t="str">
        <f aca="false">B19</f>
        <v>ondemand</v>
      </c>
      <c r="C28" s="22" t="str">
        <f aca="false">C19</f>
        <v>ondemand</v>
      </c>
      <c r="D28" s="22" t="str">
        <f aca="false">D19</f>
        <v>dynamic</v>
      </c>
      <c r="E28" s="22" t="str">
        <f aca="false">E19</f>
        <v>dynamic</v>
      </c>
      <c r="F28" s="8"/>
    </row>
    <row r="29" customFormat="false" ht="22.35" hidden="false" customHeight="false" outlineLevel="0" collapsed="false">
      <c r="A29" s="5" t="s">
        <v>116</v>
      </c>
      <c r="B29" s="22" t="n">
        <f aca="false">MIN(INT(B6*1024*B8/B9),B7*B10)</f>
        <v>20</v>
      </c>
      <c r="C29" s="22" t="n">
        <f aca="false">MIN(INT(C6*1024*C8/C9),C7*C10)</f>
        <v>20</v>
      </c>
      <c r="D29" s="22" t="n">
        <f aca="false">MIN(INT(D6*1024*D8/D9),D7*D10)</f>
        <v>40</v>
      </c>
      <c r="E29" s="22" t="n">
        <f aca="false">MIN(INT(E6*1024*E8/E9),E7*E10)</f>
        <v>52</v>
      </c>
      <c r="F29" s="8" t="s">
        <v>117</v>
      </c>
    </row>
    <row r="30" customFormat="false" ht="15" hidden="false" customHeight="false" outlineLevel="0" collapsed="false">
      <c r="A30" s="5" t="s">
        <v>118</v>
      </c>
      <c r="B30" s="22" t="str">
        <f aca="false">IF(B19="dynamic",MIN(B7*3,B29),"n/a")</f>
        <v>n/a</v>
      </c>
      <c r="C30" s="22" t="str">
        <f aca="false">IF(C19="dynamic",MIN(C7*3,C29),"n/a")</f>
        <v>n/a</v>
      </c>
      <c r="D30" s="22" t="n">
        <f aca="false">IF(D19="dynamic",MIN(D7*3,D29),"n/a")</f>
        <v>12</v>
      </c>
      <c r="E30" s="22" t="n">
        <f aca="false">IF(E19="dynamic",MIN(E7*3,E29),"n/a")</f>
        <v>24</v>
      </c>
      <c r="F30" s="8" t="s">
        <v>119</v>
      </c>
    </row>
    <row r="31" customFormat="false" ht="15" hidden="false" customHeight="false" outlineLevel="0" collapsed="false">
      <c r="A31" s="5" t="s">
        <v>120</v>
      </c>
      <c r="B31" s="22" t="str">
        <f aca="false">IF(B19="dynamic",MIN(B7*2,B29),"n/a")</f>
        <v>n/a</v>
      </c>
      <c r="C31" s="22" t="str">
        <f aca="false">IF(C19="dynamic",MIN(C7*2,C29),"n/a")</f>
        <v>n/a</v>
      </c>
      <c r="D31" s="22" t="n">
        <f aca="false">IF(D19="dynamic",MIN(D7*2,D29),"n/a")</f>
        <v>8</v>
      </c>
      <c r="E31" s="22" t="n">
        <f aca="false">IF(E19="dynamic",MIN(E7*2,E29),"n/a")</f>
        <v>16</v>
      </c>
      <c r="F31" s="8" t="s">
        <v>121</v>
      </c>
    </row>
    <row r="32" customFormat="false" ht="15" hidden="false" customHeight="false" outlineLevel="0" collapsed="false">
      <c r="A32" s="5" t="s">
        <v>122</v>
      </c>
      <c r="B32" s="22" t="str">
        <f aca="false">IF(B19="dynamic",MIN(B7*4,B29),"n/a")</f>
        <v>n/a</v>
      </c>
      <c r="C32" s="22" t="str">
        <f aca="false">IF(C19="dynamic",MIN(C7*4,C29),"n/a")</f>
        <v>n/a</v>
      </c>
      <c r="D32" s="22" t="n">
        <f aca="false">IF(D19="dynamic",MIN(D7*4,D29),"n/a")</f>
        <v>16</v>
      </c>
      <c r="E32" s="22" t="n">
        <f aca="false">IF(E19="dynamic",MIN(E7*4,E29),"n/a")</f>
        <v>32</v>
      </c>
      <c r="F32" s="8" t="s">
        <v>123</v>
      </c>
    </row>
    <row r="33" customFormat="false" ht="15" hidden="false" customHeight="false" outlineLevel="0" collapsed="false">
      <c r="A33" s="5" t="s">
        <v>102</v>
      </c>
      <c r="B33" s="22" t="n">
        <f aca="false">B18</f>
        <v>300</v>
      </c>
      <c r="C33" s="22" t="n">
        <f aca="false">C18</f>
        <v>500</v>
      </c>
      <c r="D33" s="22" t="n">
        <f aca="false">D18</f>
        <v>800</v>
      </c>
      <c r="E33" s="22" t="n">
        <f aca="false">E18</f>
        <v>1200</v>
      </c>
      <c r="F33" s="8"/>
    </row>
    <row r="34" customFormat="false" ht="15" hidden="false" customHeight="false" outlineLevel="0" collapsed="false">
      <c r="A34" s="9" t="s">
        <v>124</v>
      </c>
      <c r="B34" s="9"/>
      <c r="C34" s="9"/>
      <c r="D34" s="9"/>
      <c r="E34" s="9"/>
      <c r="F34" s="9"/>
    </row>
    <row r="35" customFormat="false" ht="15" hidden="false" customHeight="false" outlineLevel="0" collapsed="false">
      <c r="A35" s="5" t="s">
        <v>125</v>
      </c>
      <c r="B35" s="22" t="str">
        <f aca="false">IF(INT(B6*1024*B8/B9)&lt;=B7*B10,"RAM","CPU cores")</f>
        <v>CPU cores</v>
      </c>
      <c r="C35" s="22" t="str">
        <f aca="false">IF(INT(C6*1024*C8/C9)&lt;=C7*C10,"RAM","CPU cores")</f>
        <v>CPU cores</v>
      </c>
      <c r="D35" s="22" t="str">
        <f aca="false">IF(INT(D6*1024*D8/D9)&lt;=D7*D10,"RAM","CPU cores")</f>
        <v>CPU cores</v>
      </c>
      <c r="E35" s="22" t="str">
        <f aca="false">IF(INT(E6*1024*E8/E9)&lt;=E7*E10,"RAM","CPU cores")</f>
        <v>RAM</v>
      </c>
      <c r="F35" s="8" t="s">
        <v>126</v>
      </c>
    </row>
    <row r="36" customFormat="false" ht="15" hidden="false" customHeight="false" outlineLevel="0" collapsed="false">
      <c r="A36" s="5" t="s">
        <v>127</v>
      </c>
      <c r="B36" s="23" t="n">
        <f aca="false">B29*B9</f>
        <v>1600</v>
      </c>
      <c r="C36" s="23" t="n">
        <f aca="false">C29*C9</f>
        <v>1800</v>
      </c>
      <c r="D36" s="23" t="n">
        <f aca="false">D29*D9</f>
        <v>4000</v>
      </c>
      <c r="E36" s="23" t="n">
        <f aca="false">E29*E9</f>
        <v>5720</v>
      </c>
      <c r="F36" s="8" t="s">
        <v>128</v>
      </c>
    </row>
    <row r="37" customFormat="false" ht="15" hidden="false" customHeight="false" outlineLevel="0" collapsed="false">
      <c r="A37" s="5" t="s">
        <v>129</v>
      </c>
      <c r="B37" s="24" t="n">
        <f aca="false">B36/(B6*1024)</f>
        <v>0.520833333333333</v>
      </c>
      <c r="C37" s="24" t="n">
        <f aca="false">C36/(C6*1024)</f>
        <v>0.439453125</v>
      </c>
      <c r="D37" s="24" t="n">
        <f aca="false">D36/(D6*1024)</f>
        <v>0.651041666666667</v>
      </c>
      <c r="E37" s="24" t="n">
        <f aca="false">E36/(E6*1024)</f>
        <v>0.6982421875</v>
      </c>
      <c r="F37" s="8" t="s">
        <v>130</v>
      </c>
    </row>
    <row r="38" customFormat="false" ht="15" hidden="false" customHeight="false" outlineLevel="0" collapsed="false">
      <c r="A38" s="5" t="s">
        <v>131</v>
      </c>
      <c r="B38" s="22" t="str">
        <f aca="false">IF(B13&gt;=B14,"OK","FIX")</f>
        <v>OK</v>
      </c>
      <c r="C38" s="22" t="str">
        <f aca="false">IF(C13&gt;=C14,"OK","FIX")</f>
        <v>OK</v>
      </c>
      <c r="D38" s="22" t="str">
        <f aca="false">IF(D13&gt;=D14,"OK","FIX")</f>
        <v>OK</v>
      </c>
      <c r="E38" s="22" t="str">
        <f aca="false">IF(E13&gt;=E14,"OK","FIX")</f>
        <v>OK</v>
      </c>
      <c r="F38" s="8"/>
    </row>
    <row r="39" customFormat="false" ht="15" hidden="false" customHeight="false" outlineLevel="0" collapsed="false">
      <c r="A39" s="5" t="s">
        <v>132</v>
      </c>
      <c r="B39" s="22" t="str">
        <f aca="false">IF(B12&gt;=B13,"OK","FIX")</f>
        <v>OK</v>
      </c>
      <c r="C39" s="22" t="str">
        <f aca="false">IF(C12&gt;=C13,"OK","FIX")</f>
        <v>OK</v>
      </c>
      <c r="D39" s="22" t="str">
        <f aca="false">IF(D12&gt;=D13,"OK","FIX")</f>
        <v>OK</v>
      </c>
      <c r="E39" s="22" t="str">
        <f aca="false">IF(E12&gt;=E13,"OK","FIX")</f>
        <v>OK</v>
      </c>
      <c r="F39" s="8" t="s">
        <v>133</v>
      </c>
    </row>
    <row r="40" customFormat="false" ht="23.85" hidden="false" customHeight="false" outlineLevel="0" collapsed="false">
      <c r="A40" s="5" t="s">
        <v>134</v>
      </c>
      <c r="B40" s="16" t="n">
        <f aca="false">B29*B12/(B6*1024)</f>
        <v>3.33333333333333</v>
      </c>
      <c r="C40" s="16" t="n">
        <f aca="false">C29*C12/(C6*1024)</f>
        <v>2.5</v>
      </c>
      <c r="D40" s="16" t="n">
        <f aca="false">D29*D12/(D6*1024)</f>
        <v>5</v>
      </c>
      <c r="E40" s="16" t="n">
        <f aca="false">E29*E12/(E6*1024)</f>
        <v>6.5</v>
      </c>
      <c r="F40" s="8" t="s">
        <v>135</v>
      </c>
    </row>
    <row r="42" customFormat="false" ht="15" hidden="false" customHeight="false" outlineLevel="0" collapsed="false">
      <c r="A42" s="9" t="s">
        <v>136</v>
      </c>
      <c r="B42" s="9"/>
      <c r="C42" s="9"/>
      <c r="D42" s="9"/>
      <c r="E42" s="9"/>
      <c r="F42" s="9"/>
    </row>
    <row r="43" customFormat="false" ht="15" hidden="false" customHeight="true" outlineLevel="0" collapsed="false">
      <c r="A43" s="5" t="s">
        <v>137</v>
      </c>
      <c r="B43" s="6" t="s">
        <v>138</v>
      </c>
      <c r="C43" s="25" t="s">
        <v>139</v>
      </c>
      <c r="D43" s="25"/>
      <c r="E43" s="25"/>
      <c r="F43" s="8" t="s">
        <v>140</v>
      </c>
    </row>
    <row r="44" customFormat="false" ht="15" hidden="false" customHeight="true" outlineLevel="0" collapsed="false">
      <c r="A44" s="5" t="s">
        <v>141</v>
      </c>
      <c r="B44" s="6" t="s">
        <v>142</v>
      </c>
      <c r="C44" s="25" t="s">
        <v>143</v>
      </c>
      <c r="D44" s="25"/>
      <c r="E44" s="25"/>
      <c r="F44" s="8"/>
    </row>
    <row r="45" customFormat="false" ht="15" hidden="false" customHeight="true" outlineLevel="0" collapsed="false">
      <c r="A45" s="5" t="s">
        <v>144</v>
      </c>
      <c r="B45" s="6" t="s">
        <v>145</v>
      </c>
      <c r="C45" s="25" t="s">
        <v>146</v>
      </c>
      <c r="D45" s="25"/>
      <c r="E45" s="25"/>
      <c r="F45" s="8"/>
    </row>
    <row r="46" customFormat="false" ht="15" hidden="false" customHeight="true" outlineLevel="0" collapsed="false">
      <c r="A46" s="5" t="s">
        <v>147</v>
      </c>
      <c r="B46" s="6" t="s">
        <v>148</v>
      </c>
      <c r="C46" s="25" t="s">
        <v>149</v>
      </c>
      <c r="D46" s="25"/>
      <c r="E46" s="25"/>
      <c r="F46" s="8"/>
    </row>
  </sheetData>
  <mergeCells count="5">
    <mergeCell ref="A2:F2"/>
    <mergeCell ref="C43:E43"/>
    <mergeCell ref="C44:E44"/>
    <mergeCell ref="C45:E45"/>
    <mergeCell ref="C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true" outlineLevel="0" collapsed="false">
      <c r="A2" s="2" t="s">
        <v>151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152</v>
      </c>
      <c r="B4" s="4" t="s">
        <v>153</v>
      </c>
      <c r="C4" s="4" t="s">
        <v>154</v>
      </c>
      <c r="D4" s="4" t="s">
        <v>155</v>
      </c>
      <c r="E4" s="4" t="s">
        <v>156</v>
      </c>
      <c r="F4" s="4" t="s">
        <v>7</v>
      </c>
    </row>
    <row r="5" customFormat="false" ht="15" hidden="false" customHeight="false" outlineLevel="0" collapsed="false">
      <c r="A5" s="5" t="s">
        <v>157</v>
      </c>
      <c r="B5" s="6" t="n">
        <v>5</v>
      </c>
      <c r="C5" s="19" t="n">
        <v>2</v>
      </c>
      <c r="D5" s="12" t="n">
        <f aca="false">C5/B5</f>
        <v>0.4</v>
      </c>
      <c r="E5" s="6" t="s">
        <v>158</v>
      </c>
      <c r="F5" s="8"/>
    </row>
    <row r="6" customFormat="false" ht="15" hidden="false" customHeight="false" outlineLevel="0" collapsed="false">
      <c r="A6" s="5" t="s">
        <v>157</v>
      </c>
      <c r="B6" s="6" t="n">
        <v>10</v>
      </c>
      <c r="C6" s="19" t="n">
        <v>3</v>
      </c>
      <c r="D6" s="12" t="n">
        <f aca="false">C6/B6</f>
        <v>0.3</v>
      </c>
      <c r="E6" s="6" t="s">
        <v>158</v>
      </c>
      <c r="F6" s="8"/>
    </row>
    <row r="7" customFormat="false" ht="15" hidden="false" customHeight="false" outlineLevel="0" collapsed="false">
      <c r="A7" s="5" t="s">
        <v>157</v>
      </c>
      <c r="B7" s="6" t="n">
        <v>30</v>
      </c>
      <c r="C7" s="19" t="n">
        <v>7</v>
      </c>
      <c r="D7" s="12" t="n">
        <f aca="false">C7/B7</f>
        <v>0.233333333333333</v>
      </c>
      <c r="E7" s="6" t="s">
        <v>158</v>
      </c>
      <c r="F7" s="8"/>
    </row>
    <row r="8" customFormat="false" ht="15" hidden="false" customHeight="false" outlineLevel="0" collapsed="false">
      <c r="A8" s="5" t="s">
        <v>157</v>
      </c>
      <c r="B8" s="6" t="n">
        <v>60</v>
      </c>
      <c r="C8" s="19" t="n">
        <v>13</v>
      </c>
      <c r="D8" s="12" t="n">
        <f aca="false">C8/B8</f>
        <v>0.216666666666667</v>
      </c>
      <c r="E8" s="6" t="s">
        <v>158</v>
      </c>
      <c r="F8" s="8"/>
    </row>
    <row r="9" customFormat="false" ht="15" hidden="false" customHeight="false" outlineLevel="0" collapsed="false">
      <c r="A9" s="5" t="s">
        <v>157</v>
      </c>
      <c r="B9" s="6" t="n">
        <v>100</v>
      </c>
      <c r="C9" s="19" t="n">
        <v>20</v>
      </c>
      <c r="D9" s="12" t="n">
        <f aca="false">C9/B9</f>
        <v>0.2</v>
      </c>
      <c r="E9" s="6" t="s">
        <v>158</v>
      </c>
      <c r="F9" s="8"/>
    </row>
    <row r="10" customFormat="false" ht="15" hidden="false" customHeight="false" outlineLevel="0" collapsed="false">
      <c r="A10" s="5" t="s">
        <v>157</v>
      </c>
      <c r="B10" s="17" t="n">
        <v>200</v>
      </c>
      <c r="C10" s="19" t="n">
        <v>35</v>
      </c>
      <c r="D10" s="12" t="n">
        <f aca="false">C10/B10</f>
        <v>0.175</v>
      </c>
      <c r="E10" s="17" t="s">
        <v>159</v>
      </c>
      <c r="F10" s="8" t="s">
        <v>160</v>
      </c>
    </row>
    <row r="11" customFormat="false" ht="15" hidden="false" customHeight="false" outlineLevel="0" collapsed="false">
      <c r="A11" s="5" t="s">
        <v>161</v>
      </c>
      <c r="B11" s="6" t="s">
        <v>24</v>
      </c>
      <c r="C11" s="19" t="n">
        <v>10</v>
      </c>
      <c r="D11" s="12" t="s">
        <v>24</v>
      </c>
      <c r="E11" s="6" t="s">
        <v>158</v>
      </c>
      <c r="F11" s="8"/>
    </row>
    <row r="12" customFormat="false" ht="22.35" hidden="false" customHeight="false" outlineLevel="0" collapsed="false">
      <c r="A12" s="5" t="s">
        <v>162</v>
      </c>
      <c r="B12" s="6" t="s">
        <v>24</v>
      </c>
      <c r="C12" s="19" t="n">
        <v>10</v>
      </c>
      <c r="D12" s="12" t="s">
        <v>24</v>
      </c>
      <c r="E12" s="17" t="s">
        <v>163</v>
      </c>
      <c r="F12" s="8" t="s">
        <v>164</v>
      </c>
    </row>
    <row r="13" customFormat="false" ht="15" hidden="false" customHeight="false" outlineLevel="0" collapsed="false">
      <c r="A13" s="5" t="s">
        <v>165</v>
      </c>
      <c r="B13" s="6" t="s">
        <v>24</v>
      </c>
      <c r="C13" s="19" t="n">
        <v>2</v>
      </c>
      <c r="D13" s="12" t="s">
        <v>24</v>
      </c>
      <c r="E13" s="6" t="s">
        <v>166</v>
      </c>
      <c r="F13" s="8" t="s">
        <v>167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3" min="13" style="0" width="56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true" outlineLevel="0" collapsed="false">
      <c r="A2" s="2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3.85" hidden="false" customHeight="false" outlineLevel="0" collapsed="false">
      <c r="A4" s="3" t="s">
        <v>170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27</v>
      </c>
      <c r="G4" s="4" t="s">
        <v>175</v>
      </c>
      <c r="H4" s="4" t="s">
        <v>176</v>
      </c>
      <c r="I4" s="4" t="s">
        <v>177</v>
      </c>
      <c r="J4" s="4" t="s">
        <v>178</v>
      </c>
      <c r="K4" s="4" t="s">
        <v>179</v>
      </c>
      <c r="L4" s="4" t="s">
        <v>180</v>
      </c>
      <c r="M4" s="4" t="s">
        <v>7</v>
      </c>
    </row>
    <row r="5" customFormat="false" ht="15" hidden="false" customHeight="false" outlineLevel="0" collapsed="false">
      <c r="A5" s="5" t="s">
        <v>181</v>
      </c>
      <c r="B5" s="26" t="s">
        <v>182</v>
      </c>
      <c r="C5" s="10" t="n">
        <v>1.1</v>
      </c>
      <c r="D5" s="10" t="n">
        <v>8.5</v>
      </c>
      <c r="E5" s="6" t="n">
        <v>12</v>
      </c>
      <c r="F5" s="6" t="n">
        <v>5</v>
      </c>
      <c r="G5" s="6" t="n">
        <v>20</v>
      </c>
      <c r="H5" s="26" t="s">
        <v>183</v>
      </c>
      <c r="I5" s="6" t="s">
        <v>3</v>
      </c>
      <c r="J5" s="27" t="n">
        <f aca="false">IFERROR(INDEX(Plans!$B$8:$E$8,MATCH(I5,Plans!$B$4:$E$4,0)),Plans!$B$40)</f>
        <v>14.99</v>
      </c>
      <c r="K5" s="28" t="n">
        <f aca="false">J5-C5</f>
        <v>13.89</v>
      </c>
      <c r="L5" s="28" t="n">
        <f aca="false">J5-D5</f>
        <v>6.49</v>
      </c>
      <c r="M5" s="8" t="s">
        <v>184</v>
      </c>
    </row>
    <row r="6" customFormat="false" ht="22.35" hidden="false" customHeight="false" outlineLevel="0" collapsed="false">
      <c r="A6" s="5" t="s">
        <v>181</v>
      </c>
      <c r="B6" s="26" t="s">
        <v>42</v>
      </c>
      <c r="C6" s="10" t="n">
        <v>2.33</v>
      </c>
      <c r="D6" s="10" t="n">
        <v>10.6</v>
      </c>
      <c r="E6" s="6" t="n">
        <v>12</v>
      </c>
      <c r="F6" s="6" t="s">
        <v>28</v>
      </c>
      <c r="G6" s="6" t="n">
        <v>30</v>
      </c>
      <c r="H6" s="26" t="s">
        <v>185</v>
      </c>
      <c r="I6" s="6" t="s">
        <v>3</v>
      </c>
      <c r="J6" s="27" t="n">
        <f aca="false">IFERROR(INDEX(Plans!$B$8:$E$8,MATCH(I6,Plans!$B$4:$E$4,0)),Plans!$B$40)</f>
        <v>14.99</v>
      </c>
      <c r="K6" s="28" t="n">
        <f aca="false">J6-C6</f>
        <v>12.66</v>
      </c>
      <c r="L6" s="28" t="n">
        <f aca="false">J6-D6</f>
        <v>4.39</v>
      </c>
      <c r="M6" s="8" t="s">
        <v>186</v>
      </c>
    </row>
    <row r="7" customFormat="false" ht="22.35" hidden="false" customHeight="false" outlineLevel="0" collapsed="false">
      <c r="A7" s="5" t="s">
        <v>181</v>
      </c>
      <c r="B7" s="26" t="s">
        <v>187</v>
      </c>
      <c r="C7" s="10" t="n">
        <v>4.81</v>
      </c>
      <c r="D7" s="10" t="n">
        <v>16.6</v>
      </c>
      <c r="E7" s="6" t="n">
        <v>12</v>
      </c>
      <c r="F7" s="6" t="s">
        <v>28</v>
      </c>
      <c r="G7" s="6" t="n">
        <v>30</v>
      </c>
      <c r="H7" s="26" t="s">
        <v>185</v>
      </c>
      <c r="I7" s="6" t="s">
        <v>3</v>
      </c>
      <c r="J7" s="27" t="n">
        <f aca="false">IFERROR(INDEX(Plans!$B$8:$E$8,MATCH(I7,Plans!$B$4:$E$4,0)),Plans!$B$40)</f>
        <v>14.99</v>
      </c>
      <c r="K7" s="28" t="n">
        <f aca="false">J7-C7</f>
        <v>10.18</v>
      </c>
      <c r="L7" s="28" t="n">
        <f aca="false">J7-D7</f>
        <v>-1.61</v>
      </c>
      <c r="M7" s="8" t="s">
        <v>186</v>
      </c>
    </row>
    <row r="8" customFormat="false" ht="22.35" hidden="false" customHeight="false" outlineLevel="0" collapsed="false">
      <c r="A8" s="5" t="s">
        <v>181</v>
      </c>
      <c r="B8" s="26" t="s">
        <v>188</v>
      </c>
      <c r="C8" s="10" t="n">
        <v>8.71</v>
      </c>
      <c r="D8" s="10" t="n">
        <v>24.2</v>
      </c>
      <c r="E8" s="6" t="n">
        <v>12</v>
      </c>
      <c r="F8" s="6" t="s">
        <v>28</v>
      </c>
      <c r="G8" s="6" t="n">
        <v>50</v>
      </c>
      <c r="H8" s="26" t="s">
        <v>189</v>
      </c>
      <c r="I8" s="6" t="s">
        <v>3</v>
      </c>
      <c r="J8" s="27" t="n">
        <f aca="false">IFERROR(INDEX(Plans!$B$8:$E$8,MATCH(I8,Plans!$B$4:$E$4,0)),Plans!$B$40)</f>
        <v>14.99</v>
      </c>
      <c r="K8" s="28" t="n">
        <f aca="false">J8-C8</f>
        <v>6.28</v>
      </c>
      <c r="L8" s="28" t="n">
        <f aca="false">J8-D8</f>
        <v>-9.21</v>
      </c>
      <c r="M8" s="8" t="s">
        <v>190</v>
      </c>
    </row>
    <row r="9" customFormat="false" ht="15" hidden="false" customHeight="false" outlineLevel="0" collapsed="false">
      <c r="A9" s="5" t="s">
        <v>191</v>
      </c>
      <c r="B9" s="26" t="s">
        <v>182</v>
      </c>
      <c r="C9" s="10" t="n">
        <v>1.28</v>
      </c>
      <c r="D9" s="10" t="n">
        <v>10.8</v>
      </c>
      <c r="E9" s="6" t="n">
        <v>36</v>
      </c>
      <c r="F9" s="6" t="n">
        <v>5</v>
      </c>
      <c r="G9" s="6" t="n">
        <v>30</v>
      </c>
      <c r="H9" s="26" t="s">
        <v>183</v>
      </c>
      <c r="I9" s="6" t="s">
        <v>3</v>
      </c>
      <c r="J9" s="27" t="n">
        <f aca="false">IFERROR(INDEX(Plans!$B$8:$E$8,MATCH(I9,Plans!$B$4:$E$4,0)),Plans!$B$40)</f>
        <v>14.99</v>
      </c>
      <c r="K9" s="28" t="n">
        <f aca="false">J9-C9</f>
        <v>13.71</v>
      </c>
      <c r="L9" s="28" t="n">
        <f aca="false">J9-D9</f>
        <v>4.19</v>
      </c>
      <c r="M9" s="8" t="s">
        <v>184</v>
      </c>
    </row>
    <row r="10" customFormat="false" ht="22.35" hidden="false" customHeight="false" outlineLevel="0" collapsed="false">
      <c r="A10" s="5" t="s">
        <v>191</v>
      </c>
      <c r="B10" s="26" t="s">
        <v>42</v>
      </c>
      <c r="C10" s="10" t="n">
        <v>2.08</v>
      </c>
      <c r="D10" s="10" t="n">
        <v>12.9</v>
      </c>
      <c r="E10" s="6" t="n">
        <v>36</v>
      </c>
      <c r="F10" s="6" t="s">
        <v>28</v>
      </c>
      <c r="G10" s="6" t="n">
        <v>40</v>
      </c>
      <c r="H10" s="26" t="s">
        <v>185</v>
      </c>
      <c r="I10" s="6" t="s">
        <v>3</v>
      </c>
      <c r="J10" s="27" t="n">
        <f aca="false">IFERROR(INDEX(Plans!$B$8:$E$8,MATCH(I10,Plans!$B$4:$E$4,0)),Plans!$B$40)</f>
        <v>14.99</v>
      </c>
      <c r="K10" s="28" t="n">
        <f aca="false">J10-C10</f>
        <v>12.91</v>
      </c>
      <c r="L10" s="28" t="n">
        <f aca="false">J10-D10</f>
        <v>2.09</v>
      </c>
      <c r="M10" s="8" t="s">
        <v>186</v>
      </c>
    </row>
    <row r="11" customFormat="false" ht="15" hidden="false" customHeight="false" outlineLevel="0" collapsed="false">
      <c r="A11" s="5" t="s">
        <v>191</v>
      </c>
      <c r="B11" s="26" t="s">
        <v>187</v>
      </c>
      <c r="C11" s="10" t="n">
        <v>3.97</v>
      </c>
      <c r="D11" s="10" t="n">
        <v>18.8</v>
      </c>
      <c r="E11" s="6" t="n">
        <v>36</v>
      </c>
      <c r="F11" s="6" t="s">
        <v>28</v>
      </c>
      <c r="G11" s="6" t="n">
        <v>60</v>
      </c>
      <c r="H11" s="26" t="s">
        <v>192</v>
      </c>
      <c r="I11" s="6" t="s">
        <v>4</v>
      </c>
      <c r="J11" s="27" t="n">
        <f aca="false">IFERROR(INDEX(Plans!$B$8:$E$8,MATCH(I11,Plans!$B$4:$E$4,0)),Plans!$B$40)</f>
        <v>21.99</v>
      </c>
      <c r="K11" s="28" t="n">
        <f aca="false">J11-C11</f>
        <v>18.02</v>
      </c>
      <c r="L11" s="28" t="n">
        <f aca="false">J11-D11</f>
        <v>3.19</v>
      </c>
      <c r="M11" s="8" t="s">
        <v>193</v>
      </c>
    </row>
    <row r="12" customFormat="false" ht="15" hidden="false" customHeight="false" outlineLevel="0" collapsed="false">
      <c r="A12" s="5" t="s">
        <v>191</v>
      </c>
      <c r="B12" s="26" t="s">
        <v>188</v>
      </c>
      <c r="C12" s="10" t="n">
        <v>8.09</v>
      </c>
      <c r="D12" s="10" t="n">
        <v>27.88</v>
      </c>
      <c r="E12" s="6" t="n">
        <v>36</v>
      </c>
      <c r="F12" s="6" t="s">
        <v>28</v>
      </c>
      <c r="G12" s="6" t="n">
        <v>100</v>
      </c>
      <c r="H12" s="26" t="s">
        <v>192</v>
      </c>
      <c r="I12" s="6" t="s">
        <v>5</v>
      </c>
      <c r="J12" s="27" t="n">
        <f aca="false">IFERROR(INDEX(Plans!$B$8:$E$8,MATCH(I12,Plans!$B$4:$E$4,0)),Plans!$B$40)</f>
        <v>49.99</v>
      </c>
      <c r="K12" s="28" t="n">
        <f aca="false">J12-C12</f>
        <v>41.9</v>
      </c>
      <c r="L12" s="28" t="n">
        <f aca="false">J12-D12</f>
        <v>22.11</v>
      </c>
      <c r="M12" s="8" t="s">
        <v>194</v>
      </c>
    </row>
    <row r="13" customFormat="false" ht="22.35" hidden="false" customHeight="false" outlineLevel="0" collapsed="false">
      <c r="A13" s="5" t="s">
        <v>195</v>
      </c>
      <c r="B13" s="26" t="s">
        <v>182</v>
      </c>
      <c r="C13" s="10" t="n">
        <v>10.73</v>
      </c>
      <c r="D13" s="10" t="n">
        <v>28.99</v>
      </c>
      <c r="E13" s="6" t="n">
        <v>36</v>
      </c>
      <c r="F13" s="6" t="s">
        <v>28</v>
      </c>
      <c r="G13" s="6" t="n">
        <v>50</v>
      </c>
      <c r="H13" s="26" t="s">
        <v>196</v>
      </c>
      <c r="I13" s="6" t="s">
        <v>3</v>
      </c>
      <c r="J13" s="27" t="n">
        <f aca="false">IFERROR(INDEX(Plans!$B$8:$E$8,MATCH(I13,Plans!$B$4:$E$4,0)),Plans!$B$40)</f>
        <v>14.99</v>
      </c>
      <c r="K13" s="28" t="n">
        <f aca="false">J13-C13</f>
        <v>4.26</v>
      </c>
      <c r="L13" s="28" t="n">
        <f aca="false">J13-D13</f>
        <v>-14</v>
      </c>
      <c r="M13" s="8" t="s">
        <v>197</v>
      </c>
    </row>
    <row r="14" customFormat="false" ht="15" hidden="false" customHeight="false" outlineLevel="0" collapsed="false">
      <c r="A14" s="5" t="s">
        <v>195</v>
      </c>
      <c r="B14" s="26" t="s">
        <v>198</v>
      </c>
      <c r="C14" s="10" t="n">
        <v>11.07</v>
      </c>
      <c r="D14" s="10" t="n">
        <v>29.91</v>
      </c>
      <c r="E14" s="6" t="n">
        <v>36</v>
      </c>
      <c r="F14" s="6" t="s">
        <v>28</v>
      </c>
      <c r="G14" s="6" t="n">
        <v>80</v>
      </c>
      <c r="H14" s="26" t="s">
        <v>196</v>
      </c>
      <c r="I14" s="6" t="s">
        <v>4</v>
      </c>
      <c r="J14" s="27" t="n">
        <f aca="false">IFERROR(INDEX(Plans!$B$8:$E$8,MATCH(I14,Plans!$B$4:$E$4,0)),Plans!$B$40)</f>
        <v>21.99</v>
      </c>
      <c r="K14" s="28" t="n">
        <f aca="false">J14-C14</f>
        <v>10.92</v>
      </c>
      <c r="L14" s="28" t="n">
        <f aca="false">J14-D14</f>
        <v>-7.92</v>
      </c>
      <c r="M14" s="8" t="s">
        <v>199</v>
      </c>
    </row>
    <row r="15" customFormat="false" ht="15" hidden="false" customHeight="false" outlineLevel="0" collapsed="false">
      <c r="A15" s="5" t="s">
        <v>195</v>
      </c>
      <c r="B15" s="26" t="s">
        <v>200</v>
      </c>
      <c r="C15" s="10" t="n">
        <v>13.96</v>
      </c>
      <c r="D15" s="10" t="n">
        <v>39.89</v>
      </c>
      <c r="E15" s="6" t="n">
        <v>36</v>
      </c>
      <c r="F15" s="6" t="s">
        <v>28</v>
      </c>
      <c r="G15" s="6" t="n">
        <v>100</v>
      </c>
      <c r="H15" s="26" t="s">
        <v>201</v>
      </c>
      <c r="I15" s="6" t="s">
        <v>5</v>
      </c>
      <c r="J15" s="27" t="n">
        <f aca="false">IFERROR(INDEX(Plans!$B$8:$E$8,MATCH(I15,Plans!$B$4:$E$4,0)),Plans!$B$40)</f>
        <v>49.99</v>
      </c>
      <c r="K15" s="28" t="n">
        <f aca="false">J15-C15</f>
        <v>36.03</v>
      </c>
      <c r="L15" s="28" t="n">
        <f aca="false">J15-D15</f>
        <v>10.1</v>
      </c>
      <c r="M15" s="8" t="s">
        <v>202</v>
      </c>
    </row>
    <row r="16" customFormat="false" ht="15" hidden="false" customHeight="false" outlineLevel="0" collapsed="false">
      <c r="A16" s="5" t="s">
        <v>195</v>
      </c>
      <c r="B16" s="26" t="s">
        <v>203</v>
      </c>
      <c r="C16" s="10" t="n">
        <v>26.27</v>
      </c>
      <c r="D16" s="10" t="n">
        <v>48.64</v>
      </c>
      <c r="E16" s="6" t="n">
        <v>12</v>
      </c>
      <c r="F16" s="6" t="s">
        <v>28</v>
      </c>
      <c r="G16" s="6" t="n">
        <v>160</v>
      </c>
      <c r="H16" s="26" t="s">
        <v>204</v>
      </c>
      <c r="I16" s="6" t="s">
        <v>5</v>
      </c>
      <c r="J16" s="27" t="n">
        <f aca="false">IFERROR(INDEX(Plans!$B$8:$E$8,MATCH(I16,Plans!$B$4:$E$4,0)),Plans!$B$40)</f>
        <v>49.99</v>
      </c>
      <c r="K16" s="28" t="n">
        <f aca="false">J16-C16</f>
        <v>23.72</v>
      </c>
      <c r="L16" s="28" t="n">
        <f aca="false">J16-D16</f>
        <v>1.35</v>
      </c>
      <c r="M16" s="8" t="s">
        <v>205</v>
      </c>
    </row>
    <row r="17" customFormat="false" ht="15" hidden="false" customHeight="false" outlineLevel="0" collapsed="false">
      <c r="A17" s="5" t="s">
        <v>206</v>
      </c>
      <c r="B17" s="26" t="s">
        <v>182</v>
      </c>
      <c r="C17" s="10" t="n">
        <v>34.19</v>
      </c>
      <c r="D17" s="10" t="n">
        <v>37.99</v>
      </c>
      <c r="E17" s="6" t="n">
        <v>12</v>
      </c>
      <c r="F17" s="6" t="s">
        <v>24</v>
      </c>
      <c r="G17" s="6" t="n">
        <v>20</v>
      </c>
      <c r="H17" s="26" t="s">
        <v>207</v>
      </c>
      <c r="I17" s="6" t="s">
        <v>5</v>
      </c>
      <c r="J17" s="27" t="n">
        <f aca="false">IFERROR(INDEX(Plans!$B$8:$E$8,MATCH(I17,Plans!$B$4:$E$4,0)),Plans!$B$40)</f>
        <v>49.99</v>
      </c>
      <c r="K17" s="28" t="n">
        <f aca="false">J17-C17</f>
        <v>15.8</v>
      </c>
      <c r="L17" s="28" t="n">
        <f aca="false">J17-D17</f>
        <v>12</v>
      </c>
      <c r="M17" s="8" t="s">
        <v>208</v>
      </c>
    </row>
    <row r="18" customFormat="false" ht="22.35" hidden="false" customHeight="false" outlineLevel="0" collapsed="false">
      <c r="A18" s="5" t="s">
        <v>206</v>
      </c>
      <c r="B18" s="26" t="s">
        <v>198</v>
      </c>
      <c r="C18" s="10" t="n">
        <v>90</v>
      </c>
      <c r="D18" s="10" t="n">
        <v>150</v>
      </c>
      <c r="E18" s="6" t="n">
        <v>36</v>
      </c>
      <c r="F18" s="6" t="s">
        <v>24</v>
      </c>
      <c r="G18" s="6" t="n">
        <v>60</v>
      </c>
      <c r="H18" s="26" t="s">
        <v>201</v>
      </c>
      <c r="I18" s="6" t="s">
        <v>6</v>
      </c>
      <c r="J18" s="27" t="n">
        <f aca="false">IFERROR(INDEX(Plans!$B$8:$E$8,MATCH(I18,Plans!$B$4:$E$4,0)),Plans!$B$40)</f>
        <v>149.99</v>
      </c>
      <c r="K18" s="28" t="n">
        <f aca="false">J18-C18</f>
        <v>59.99</v>
      </c>
      <c r="L18" s="28" t="n">
        <f aca="false">J18-D18</f>
        <v>-0.00999999999999091</v>
      </c>
      <c r="M18" s="8" t="s">
        <v>209</v>
      </c>
    </row>
    <row r="19" customFormat="false" ht="15" hidden="false" customHeight="false" outlineLevel="0" collapsed="false">
      <c r="A19" s="5" t="s">
        <v>206</v>
      </c>
      <c r="B19" s="26" t="s">
        <v>200</v>
      </c>
      <c r="C19" s="10" t="n">
        <v>118.16</v>
      </c>
      <c r="D19" s="10" t="n">
        <v>211</v>
      </c>
      <c r="E19" s="6" t="n">
        <v>36</v>
      </c>
      <c r="F19" s="6" t="s">
        <v>24</v>
      </c>
      <c r="G19" s="6" t="n">
        <v>80</v>
      </c>
      <c r="H19" s="26" t="s">
        <v>210</v>
      </c>
      <c r="I19" s="6" t="s">
        <v>6</v>
      </c>
      <c r="J19" s="27" t="n">
        <f aca="false">IFERROR(INDEX(Plans!$B$8:$E$8,MATCH(I19,Plans!$B$4:$E$4,0)),Plans!$B$40)</f>
        <v>149.99</v>
      </c>
      <c r="K19" s="28" t="n">
        <f aca="false">J19-C19</f>
        <v>31.83</v>
      </c>
      <c r="L19" s="28" t="n">
        <f aca="false">J19-D19</f>
        <v>-61.01</v>
      </c>
      <c r="M19" s="8" t="s">
        <v>211</v>
      </c>
    </row>
    <row r="20" customFormat="false" ht="15" hidden="false" customHeight="false" outlineLevel="0" collapsed="false">
      <c r="A20" s="5" t="s">
        <v>206</v>
      </c>
      <c r="B20" s="26" t="s">
        <v>212</v>
      </c>
      <c r="C20" s="10" t="n">
        <v>156</v>
      </c>
      <c r="D20" s="10" t="n">
        <v>240</v>
      </c>
      <c r="E20" s="6" t="n">
        <v>36</v>
      </c>
      <c r="F20" s="6" t="s">
        <v>24</v>
      </c>
      <c r="G20" s="6" t="n">
        <v>160</v>
      </c>
      <c r="H20" s="26" t="s">
        <v>210</v>
      </c>
      <c r="I20" s="6" t="s">
        <v>213</v>
      </c>
      <c r="J20" s="27" t="n">
        <f aca="false">IFERROR(INDEX(Plans!$B$8:$E$8,MATCH(I20,Plans!$B$4:$E$4,0)),Plans!$B$40)</f>
        <v>300</v>
      </c>
      <c r="K20" s="28" t="n">
        <f aca="false">J20-C20</f>
        <v>144</v>
      </c>
      <c r="L20" s="28" t="n">
        <f aca="false">J20-D20</f>
        <v>60</v>
      </c>
      <c r="M20" s="8" t="s">
        <v>214</v>
      </c>
    </row>
    <row r="22" customFormat="false" ht="15" hidden="false" customHeight="true" outlineLevel="0" collapsed="false">
      <c r="A22" s="5" t="s">
        <v>215</v>
      </c>
      <c r="B22" s="5"/>
      <c r="C22" s="5"/>
      <c r="D22" s="5"/>
      <c r="E22" s="5"/>
      <c r="F22" s="5"/>
      <c r="G22" s="5"/>
      <c r="H22" s="5"/>
      <c r="I22" s="5"/>
      <c r="J22" s="22" t="n">
        <f aca="false">COUNTIF(K5:K20,"&gt;0")</f>
        <v>16</v>
      </c>
    </row>
    <row r="23" customFormat="false" ht="15" hidden="false" customHeight="true" outlineLevel="0" collapsed="false">
      <c r="A23" s="5" t="s">
        <v>216</v>
      </c>
      <c r="B23" s="5"/>
      <c r="C23" s="5"/>
      <c r="D23" s="5"/>
      <c r="E23" s="5"/>
      <c r="F23" s="5"/>
      <c r="G23" s="5"/>
      <c r="H23" s="5"/>
      <c r="I23" s="5"/>
      <c r="J23" s="22" t="n">
        <f aca="false">COUNTIF(L5:L20,"&gt;0")</f>
        <v>10</v>
      </c>
    </row>
  </sheetData>
  <mergeCells count="3">
    <mergeCell ref="A2:M2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3" t="s">
        <v>218</v>
      </c>
      <c r="B3" s="4" t="s">
        <v>219</v>
      </c>
      <c r="C3" s="4" t="s">
        <v>220</v>
      </c>
      <c r="D3" s="4" t="s">
        <v>221</v>
      </c>
      <c r="E3" s="4" t="s">
        <v>222</v>
      </c>
    </row>
    <row r="4" customFormat="false" ht="23.85" hidden="false" customHeight="false" outlineLevel="0" collapsed="false">
      <c r="A4" s="22" t="n">
        <v>1</v>
      </c>
      <c r="B4" s="5" t="s">
        <v>223</v>
      </c>
      <c r="C4" s="25" t="s">
        <v>224</v>
      </c>
      <c r="D4" s="29"/>
      <c r="E4" s="29"/>
    </row>
    <row r="5" customFormat="false" ht="23.85" hidden="false" customHeight="false" outlineLevel="0" collapsed="false">
      <c r="A5" s="22" t="n">
        <v>2</v>
      </c>
      <c r="B5" s="5" t="s">
        <v>225</v>
      </c>
      <c r="C5" s="25" t="s">
        <v>226</v>
      </c>
      <c r="D5" s="29"/>
      <c r="E5" s="29"/>
    </row>
    <row r="6" customFormat="false" ht="15" hidden="false" customHeight="false" outlineLevel="0" collapsed="false">
      <c r="A6" s="22" t="n">
        <v>3</v>
      </c>
      <c r="B6" s="5" t="s">
        <v>227</v>
      </c>
      <c r="C6" s="25" t="s">
        <v>228</v>
      </c>
      <c r="D6" s="29"/>
      <c r="E6" s="29"/>
    </row>
    <row r="7" customFormat="false" ht="23.85" hidden="false" customHeight="false" outlineLevel="0" collapsed="false">
      <c r="A7" s="22" t="n">
        <v>4</v>
      </c>
      <c r="B7" s="5" t="s">
        <v>229</v>
      </c>
      <c r="C7" s="25" t="s">
        <v>230</v>
      </c>
      <c r="D7" s="29"/>
      <c r="E7" s="29"/>
    </row>
    <row r="8" customFormat="false" ht="23.85" hidden="false" customHeight="false" outlineLevel="0" collapsed="false">
      <c r="A8" s="22" t="n">
        <v>5</v>
      </c>
      <c r="B8" s="5" t="s">
        <v>231</v>
      </c>
      <c r="C8" s="25" t="s">
        <v>232</v>
      </c>
      <c r="D8" s="29"/>
      <c r="E8" s="29"/>
    </row>
    <row r="9" customFormat="false" ht="23.85" hidden="false" customHeight="false" outlineLevel="0" collapsed="false">
      <c r="A9" s="22" t="n">
        <v>6</v>
      </c>
      <c r="B9" s="5" t="s">
        <v>233</v>
      </c>
      <c r="C9" s="25" t="s">
        <v>234</v>
      </c>
      <c r="D9" s="29"/>
      <c r="E9" s="29"/>
    </row>
    <row r="10" customFormat="false" ht="15" hidden="false" customHeight="false" outlineLevel="0" collapsed="false">
      <c r="A10" s="22" t="n">
        <v>7</v>
      </c>
      <c r="B10" s="5" t="s">
        <v>235</v>
      </c>
      <c r="C10" s="25" t="s">
        <v>236</v>
      </c>
      <c r="D10" s="29"/>
      <c r="E10" s="29"/>
    </row>
    <row r="11" customFormat="false" ht="15" hidden="false" customHeight="false" outlineLevel="0" collapsed="false">
      <c r="A11" s="22" t="n">
        <v>8</v>
      </c>
      <c r="B11" s="5" t="s">
        <v>237</v>
      </c>
      <c r="C11" s="25" t="s">
        <v>238</v>
      </c>
      <c r="D11" s="29"/>
      <c r="E11" s="29"/>
    </row>
    <row r="12" customFormat="false" ht="15" hidden="false" customHeight="false" outlineLevel="0" collapsed="false">
      <c r="A12" s="22" t="n">
        <v>9</v>
      </c>
      <c r="B12" s="5" t="s">
        <v>239</v>
      </c>
      <c r="C12" s="25" t="s">
        <v>240</v>
      </c>
      <c r="D12" s="29"/>
      <c r="E12" s="29"/>
    </row>
    <row r="13" customFormat="false" ht="23.85" hidden="false" customHeight="false" outlineLevel="0" collapsed="false">
      <c r="A13" s="22" t="n">
        <v>10</v>
      </c>
      <c r="B13" s="5" t="s">
        <v>241</v>
      </c>
      <c r="C13" s="25" t="s">
        <v>242</v>
      </c>
      <c r="D13" s="29"/>
      <c r="E13" s="29"/>
    </row>
    <row r="14" customFormat="false" ht="23.85" hidden="false" customHeight="false" outlineLevel="0" collapsed="false">
      <c r="A14" s="22" t="n">
        <v>11</v>
      </c>
      <c r="B14" s="5" t="s">
        <v>243</v>
      </c>
      <c r="C14" s="25" t="s">
        <v>244</v>
      </c>
      <c r="D14" s="29"/>
      <c r="E14" s="29"/>
    </row>
    <row r="15" customFormat="false" ht="15" hidden="false" customHeight="false" outlineLevel="0" collapsed="false">
      <c r="A15" s="22" t="n">
        <v>12</v>
      </c>
      <c r="B15" s="5" t="s">
        <v>245</v>
      </c>
      <c r="C15" s="25" t="s">
        <v>246</v>
      </c>
      <c r="D15" s="29"/>
      <c r="E15" s="29"/>
    </row>
    <row r="16" customFormat="false" ht="15" hidden="false" customHeight="false" outlineLevel="0" collapsed="false">
      <c r="A16" s="22" t="n">
        <v>13</v>
      </c>
      <c r="B16" s="5" t="s">
        <v>247</v>
      </c>
      <c r="C16" s="25" t="s">
        <v>248</v>
      </c>
      <c r="D16" s="29"/>
      <c r="E16" s="29"/>
    </row>
    <row r="17" customFormat="false" ht="15" hidden="false" customHeight="false" outlineLevel="0" collapsed="false">
      <c r="A17" s="22" t="n">
        <v>14</v>
      </c>
      <c r="B17" s="5" t="s">
        <v>249</v>
      </c>
      <c r="C17" s="25" t="s">
        <v>250</v>
      </c>
      <c r="D17" s="29"/>
      <c r="E17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2026-10-11T16:45:49Z</dcterms:created>
  <dc:creator>openpyxl</dc:creator>
  <dc:description/>
  <dc:language>en-US</dc:language>
  <cp:lastModifiedBy/>
  <dcterms:modified xsi:type="dcterms:W3CDTF">2026-10-11T16:45:49Z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